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ipan\OneDrive\Labs\MMSS\"/>
    </mc:Choice>
  </mc:AlternateContent>
  <xr:revisionPtr revIDLastSave="0" documentId="13_ncr:1_{19A14BA8-1DD5-4EF4-9C40-72BC7A2D61F5}" xr6:coauthVersionLast="47" xr6:coauthVersionMax="47" xr10:uidLastSave="{00000000-0000-0000-0000-000000000000}"/>
  <bookViews>
    <workbookView xWindow="-110" yWindow="-110" windowWidth="19420" windowHeight="11500" xr2:uid="{7E2F8B85-CC64-42E2-B471-3DE459CA5AA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G11" i="1"/>
  <c r="G12" i="1"/>
  <c r="D5" i="1"/>
  <c r="D6" i="1"/>
  <c r="D7" i="1"/>
  <c r="D8" i="1"/>
  <c r="D9" i="1"/>
  <c r="D10" i="1"/>
  <c r="D11" i="1"/>
  <c r="D12" i="1"/>
  <c r="G4" i="1"/>
  <c r="D4" i="1"/>
</calcChain>
</file>

<file path=xl/sharedStrings.xml><?xml version="1.0" encoding="utf-8"?>
<sst xmlns="http://schemas.openxmlformats.org/spreadsheetml/2006/main" count="34" uniqueCount="15">
  <si>
    <t>N</t>
  </si>
  <si>
    <t>a</t>
  </si>
  <si>
    <t>M/M/1</t>
  </si>
  <si>
    <t>M/D/1</t>
  </si>
  <si>
    <t>Время доставки</t>
  </si>
  <si>
    <t>Имит. модель</t>
  </si>
  <si>
    <t>Аналит. модель</t>
  </si>
  <si>
    <t>СКО времени доставки (им. модель)</t>
  </si>
  <si>
    <t>Первая фаза</t>
  </si>
  <si>
    <t>Вторая фаза</t>
  </si>
  <si>
    <t>I</t>
  </si>
  <si>
    <t xml:space="preserve">II </t>
  </si>
  <si>
    <t>III</t>
  </si>
  <si>
    <t>T1</t>
  </si>
  <si>
    <t>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</si>
</sst>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0" xfId="0" applyBorder="1" applyAlignment="1">
      <alignment horizontal="left" vertical="center"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2" xfId="0" applyBorder="1" applyAlignment="1">
      <alignment horizontal="left" vertical="center" wrapText="1"/>
    </xf>
    <xf numFmtId="0" fontId="0" fillId="0" borderId="15" xfId="0" applyBorder="1"/>
    <xf numFmtId="0" fontId="0" fillId="0" borderId="1" xfId="0" applyBorder="1"/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1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0CB2F-BA9F-4864-BF9F-B9C4245AC9B1}">
  <dimension ref="A1:W13"/>
  <sheetViews>
    <sheetView tabSelected="1" workbookViewId="0">
      <selection activeCell="H4" sqref="H4:H13"/>
    </sheetView>
  </sheetViews>
  <sheetFormatPr defaultRowHeight="14.5" x14ac:dyDescent="0.35"/>
  <cols>
    <col min="5" max="5" width="12.81640625" customWidth="1"/>
    <col min="7" max="7" width="8.90625" customWidth="1"/>
    <col min="8" max="8" width="12.90625" customWidth="1"/>
  </cols>
  <sheetData>
    <row r="1" spans="1:23" ht="15" thickBot="1" x14ac:dyDescent="0.4">
      <c r="A1" s="25" t="s">
        <v>0</v>
      </c>
      <c r="B1" s="17" t="s">
        <v>1</v>
      </c>
      <c r="C1" s="22" t="s">
        <v>2</v>
      </c>
      <c r="D1" s="24"/>
      <c r="E1" s="23"/>
      <c r="F1" s="22" t="s">
        <v>3</v>
      </c>
      <c r="G1" s="24"/>
      <c r="H1" s="23"/>
      <c r="J1" s="27" t="s">
        <v>0</v>
      </c>
      <c r="K1" s="16" t="s">
        <v>1</v>
      </c>
      <c r="L1" s="19" t="s">
        <v>8</v>
      </c>
      <c r="M1" s="20"/>
      <c r="N1" s="20"/>
      <c r="O1" s="20"/>
      <c r="P1" s="20"/>
      <c r="Q1" s="21"/>
      <c r="R1" s="22" t="s">
        <v>9</v>
      </c>
      <c r="S1" s="24"/>
      <c r="T1" s="24"/>
      <c r="U1" s="24"/>
      <c r="V1" s="24"/>
      <c r="W1" s="23"/>
    </row>
    <row r="2" spans="1:23" ht="15" thickBot="1" x14ac:dyDescent="0.4">
      <c r="A2" s="25"/>
      <c r="B2" s="17"/>
      <c r="C2" s="30" t="s">
        <v>4</v>
      </c>
      <c r="D2" s="31"/>
      <c r="E2" s="32" t="s">
        <v>7</v>
      </c>
      <c r="F2" s="33" t="s">
        <v>4</v>
      </c>
      <c r="G2" s="34"/>
      <c r="H2" s="35" t="s">
        <v>7</v>
      </c>
      <c r="J2" s="28"/>
      <c r="K2" s="17"/>
      <c r="L2" s="19" t="s">
        <v>10</v>
      </c>
      <c r="M2" s="21"/>
      <c r="N2" s="19" t="s">
        <v>11</v>
      </c>
      <c r="O2" s="21"/>
      <c r="P2" s="22" t="s">
        <v>12</v>
      </c>
      <c r="Q2" s="23"/>
      <c r="R2" s="22" t="s">
        <v>10</v>
      </c>
      <c r="S2" s="23"/>
      <c r="T2" s="22" t="s">
        <v>11</v>
      </c>
      <c r="U2" s="23"/>
      <c r="V2" s="22" t="s">
        <v>12</v>
      </c>
      <c r="W2" s="23"/>
    </row>
    <row r="3" spans="1:23" ht="30" customHeight="1" thickBot="1" x14ac:dyDescent="0.4">
      <c r="A3" s="26"/>
      <c r="B3" s="18"/>
      <c r="C3" s="9" t="s">
        <v>5</v>
      </c>
      <c r="D3" s="13" t="s">
        <v>6</v>
      </c>
      <c r="E3" s="32"/>
      <c r="F3" s="9" t="s">
        <v>5</v>
      </c>
      <c r="G3" s="9" t="s">
        <v>6</v>
      </c>
      <c r="H3" s="35"/>
      <c r="J3" s="29"/>
      <c r="K3" s="18"/>
      <c r="L3" s="15" t="s">
        <v>13</v>
      </c>
      <c r="M3" s="14" t="s">
        <v>14</v>
      </c>
      <c r="N3" s="15" t="s">
        <v>13</v>
      </c>
      <c r="O3" s="14" t="s">
        <v>14</v>
      </c>
      <c r="P3" s="15" t="s">
        <v>13</v>
      </c>
      <c r="Q3" s="5" t="s">
        <v>14</v>
      </c>
      <c r="R3" s="15" t="s">
        <v>13</v>
      </c>
      <c r="S3" s="5" t="s">
        <v>14</v>
      </c>
      <c r="T3" s="15" t="s">
        <v>13</v>
      </c>
      <c r="U3" s="5" t="s">
        <v>14</v>
      </c>
      <c r="V3" s="15" t="s">
        <v>13</v>
      </c>
      <c r="W3" s="5" t="s">
        <v>14</v>
      </c>
    </row>
    <row r="4" spans="1:23" x14ac:dyDescent="0.35">
      <c r="A4" s="6">
        <v>1</v>
      </c>
      <c r="B4" s="7">
        <v>0.11</v>
      </c>
      <c r="C4" s="6">
        <v>1.1200000000000001</v>
      </c>
      <c r="D4" s="10">
        <f>(B4/(1-B4))+1</f>
        <v>1.1235955056179776</v>
      </c>
      <c r="E4" s="8">
        <v>1.115</v>
      </c>
      <c r="F4" s="6">
        <v>1.0609999999999999</v>
      </c>
      <c r="G4" s="10">
        <f>(B4/(2*(1-B4)))+1</f>
        <v>1.0617977528089888</v>
      </c>
      <c r="H4" s="8">
        <v>0.21199999999999999</v>
      </c>
      <c r="J4" s="1">
        <v>1</v>
      </c>
      <c r="K4" s="2">
        <v>0.21</v>
      </c>
      <c r="L4" s="11">
        <v>1.266</v>
      </c>
      <c r="M4" s="2">
        <v>1.272</v>
      </c>
      <c r="N4" s="11">
        <v>1.133</v>
      </c>
      <c r="O4" s="2">
        <v>0.32700000000000001</v>
      </c>
      <c r="P4" s="11">
        <v>1.258</v>
      </c>
      <c r="Q4" s="2">
        <v>1.248</v>
      </c>
      <c r="R4" s="10">
        <v>1.272</v>
      </c>
      <c r="S4" s="8">
        <v>1.284</v>
      </c>
      <c r="T4" s="10">
        <v>1.1990000000000001</v>
      </c>
      <c r="U4" s="7">
        <v>1.2050000000000001</v>
      </c>
      <c r="V4" s="10">
        <v>1.3939999999999999</v>
      </c>
      <c r="W4" s="8">
        <v>1.2669999999999999</v>
      </c>
    </row>
    <row r="5" spans="1:23" x14ac:dyDescent="0.35">
      <c r="A5" s="1">
        <v>2</v>
      </c>
      <c r="B5">
        <v>0.21</v>
      </c>
      <c r="C5" s="1">
        <v>1.2589999999999999</v>
      </c>
      <c r="D5" s="11">
        <f t="shared" ref="D5:D12" si="0">(B5/(1-B5))+1</f>
        <v>1.2658227848101267</v>
      </c>
      <c r="E5" s="2">
        <v>1.252</v>
      </c>
      <c r="F5" s="1">
        <v>1.131</v>
      </c>
      <c r="G5" s="11">
        <f t="shared" ref="G5:G12" si="1">(B5/(2*(1-B5)))+1</f>
        <v>1.1329113924050633</v>
      </c>
      <c r="H5" s="2">
        <v>0.32300000000000001</v>
      </c>
      <c r="J5" s="1">
        <v>2</v>
      </c>
      <c r="K5" s="2">
        <v>0.51</v>
      </c>
      <c r="L5" s="11">
        <v>2.0339999999999998</v>
      </c>
      <c r="M5" s="2">
        <v>2.04</v>
      </c>
      <c r="N5" s="11">
        <v>1.5269999999999999</v>
      </c>
      <c r="O5" s="2">
        <v>0.80900000000000005</v>
      </c>
      <c r="P5" s="11">
        <v>2.016</v>
      </c>
      <c r="Q5" s="2">
        <v>1.988</v>
      </c>
      <c r="R5" s="11">
        <v>1.9930000000000001</v>
      </c>
      <c r="S5" s="2">
        <v>1.9870000000000001</v>
      </c>
      <c r="T5" s="11">
        <v>1.7989999999999999</v>
      </c>
      <c r="U5" s="36">
        <v>1.8580000000000001</v>
      </c>
      <c r="V5" s="11">
        <v>2.14</v>
      </c>
      <c r="W5" s="2">
        <v>1.587</v>
      </c>
    </row>
    <row r="6" spans="1:23" x14ac:dyDescent="0.35">
      <c r="A6" s="1">
        <v>3</v>
      </c>
      <c r="B6">
        <v>0.31</v>
      </c>
      <c r="C6" s="1">
        <v>1.44</v>
      </c>
      <c r="D6" s="11">
        <f t="shared" si="0"/>
        <v>1.4492753623188406</v>
      </c>
      <c r="E6" s="2">
        <v>1.4379999999999999</v>
      </c>
      <c r="F6" s="1">
        <v>1.2230000000000001</v>
      </c>
      <c r="G6" s="11">
        <f t="shared" si="1"/>
        <v>1.2246376811594204</v>
      </c>
      <c r="H6" s="2">
        <v>0.441</v>
      </c>
      <c r="J6" s="1">
        <v>3</v>
      </c>
      <c r="K6" s="2">
        <v>0.81</v>
      </c>
      <c r="L6" s="11">
        <v>5.0369999999999999</v>
      </c>
      <c r="M6" s="2">
        <v>4.9939999999999998</v>
      </c>
      <c r="N6" s="11">
        <v>3.03</v>
      </c>
      <c r="O6" s="2">
        <v>2.4049999999999998</v>
      </c>
      <c r="P6" s="11">
        <v>5.1710000000000003</v>
      </c>
      <c r="Q6" s="2">
        <v>5.2329999999999997</v>
      </c>
      <c r="R6" s="11">
        <v>4.9050000000000002</v>
      </c>
      <c r="S6" s="2">
        <v>4.6280000000000001</v>
      </c>
      <c r="T6" s="11">
        <v>4.0199999999999996</v>
      </c>
      <c r="U6" s="36">
        <v>4.5490000000000004</v>
      </c>
      <c r="V6" s="11">
        <v>3.5579999999999998</v>
      </c>
      <c r="W6" s="2">
        <v>1.929</v>
      </c>
    </row>
    <row r="7" spans="1:23" x14ac:dyDescent="0.35">
      <c r="A7" s="1">
        <v>4</v>
      </c>
      <c r="B7">
        <v>0.41</v>
      </c>
      <c r="C7" s="1">
        <v>1.6870000000000001</v>
      </c>
      <c r="D7" s="11">
        <f t="shared" si="0"/>
        <v>1.6949152542372881</v>
      </c>
      <c r="E7" s="2">
        <v>1.6559999999999999</v>
      </c>
      <c r="F7" s="1">
        <v>1.3440000000000001</v>
      </c>
      <c r="G7" s="11">
        <f t="shared" si="1"/>
        <v>1.347457627118644</v>
      </c>
      <c r="H7" s="2">
        <v>0.58599999999999997</v>
      </c>
      <c r="J7" s="1">
        <v>4</v>
      </c>
      <c r="K7" s="2">
        <v>0.91</v>
      </c>
      <c r="L7" s="11">
        <v>11.765000000000001</v>
      </c>
      <c r="M7" s="2">
        <v>11.446999999999999</v>
      </c>
      <c r="N7" s="11">
        <v>5.6050000000000004</v>
      </c>
      <c r="O7" s="2">
        <v>4.9089999999999998</v>
      </c>
      <c r="P7" s="11">
        <v>11.061999999999999</v>
      </c>
      <c r="Q7" s="2">
        <v>12.081</v>
      </c>
      <c r="R7" s="11">
        <v>11.109</v>
      </c>
      <c r="S7" s="2">
        <v>10.718999999999999</v>
      </c>
      <c r="T7" s="11">
        <v>7.343</v>
      </c>
      <c r="U7" s="36">
        <v>7.5659999999999998</v>
      </c>
      <c r="V7" s="11">
        <v>4.6520000000000001</v>
      </c>
      <c r="W7" s="2">
        <v>2.1459999999999999</v>
      </c>
    </row>
    <row r="8" spans="1:23" ht="15" thickBot="1" x14ac:dyDescent="0.4">
      <c r="A8" s="1">
        <v>5</v>
      </c>
      <c r="B8">
        <v>0.51</v>
      </c>
      <c r="C8" s="1">
        <v>2.0779999999999998</v>
      </c>
      <c r="D8" s="11">
        <f t="shared" si="0"/>
        <v>2.0408163265306123</v>
      </c>
      <c r="E8" s="2">
        <v>2.1440000000000001</v>
      </c>
      <c r="F8" s="1">
        <v>1.512</v>
      </c>
      <c r="G8" s="11">
        <f t="shared" si="1"/>
        <v>1.5204081632653061</v>
      </c>
      <c r="H8" s="2">
        <v>0.76900000000000002</v>
      </c>
      <c r="J8" s="3">
        <v>5</v>
      </c>
      <c r="K8" s="5">
        <v>0.99</v>
      </c>
      <c r="L8" s="12">
        <v>94.927999999999997</v>
      </c>
      <c r="M8" s="5">
        <v>61.557000000000002</v>
      </c>
      <c r="N8" s="12">
        <v>31.530999999999999</v>
      </c>
      <c r="O8" s="5">
        <v>31.132000000000001</v>
      </c>
      <c r="P8" s="12">
        <v>65.332999999999998</v>
      </c>
      <c r="Q8" s="5">
        <v>65.048000000000002</v>
      </c>
      <c r="R8" s="12">
        <v>113.086</v>
      </c>
      <c r="S8" s="5">
        <v>73.363</v>
      </c>
      <c r="T8" s="12">
        <v>58.88</v>
      </c>
      <c r="U8" s="4">
        <v>53.71</v>
      </c>
      <c r="V8" s="12">
        <v>7.556</v>
      </c>
      <c r="W8" s="5">
        <v>2.5030000000000001</v>
      </c>
    </row>
    <row r="9" spans="1:23" x14ac:dyDescent="0.35">
      <c r="A9" s="1">
        <v>6</v>
      </c>
      <c r="B9">
        <v>0.61</v>
      </c>
      <c r="C9" s="1">
        <v>2.5110000000000001</v>
      </c>
      <c r="D9" s="11">
        <f t="shared" si="0"/>
        <v>2.5641025641025639</v>
      </c>
      <c r="E9" s="2">
        <v>2.4950000000000001</v>
      </c>
      <c r="F9" s="1">
        <v>1.7629999999999999</v>
      </c>
      <c r="G9" s="11">
        <f t="shared" si="1"/>
        <v>1.7820512820512819</v>
      </c>
      <c r="H9" s="2">
        <v>1.0209999999999999</v>
      </c>
    </row>
    <row r="10" spans="1:23" x14ac:dyDescent="0.35">
      <c r="A10" s="1">
        <v>7</v>
      </c>
      <c r="B10">
        <v>0.71</v>
      </c>
      <c r="C10" s="1">
        <v>3.4409999999999998</v>
      </c>
      <c r="D10" s="11">
        <f t="shared" si="0"/>
        <v>3.4482758620689653</v>
      </c>
      <c r="E10" s="2">
        <v>3.3330000000000002</v>
      </c>
      <c r="F10" s="1">
        <v>2.1859999999999999</v>
      </c>
      <c r="G10" s="11">
        <f t="shared" si="1"/>
        <v>2.2241379310344827</v>
      </c>
      <c r="H10" s="2">
        <v>1.4390000000000001</v>
      </c>
    </row>
    <row r="11" spans="1:23" x14ac:dyDescent="0.35">
      <c r="A11" s="1">
        <v>8</v>
      </c>
      <c r="B11">
        <v>0.81</v>
      </c>
      <c r="C11" s="1">
        <v>5.3860000000000001</v>
      </c>
      <c r="D11" s="11">
        <f t="shared" si="0"/>
        <v>5.2631578947368434</v>
      </c>
      <c r="E11" s="2">
        <v>6.2519999999999998</v>
      </c>
      <c r="F11" s="1">
        <v>3.1190000000000002</v>
      </c>
      <c r="G11" s="11">
        <f t="shared" si="1"/>
        <v>3.1315789473684217</v>
      </c>
      <c r="H11" s="2">
        <v>2.42</v>
      </c>
    </row>
    <row r="12" spans="1:23" x14ac:dyDescent="0.35">
      <c r="A12" s="1">
        <v>9</v>
      </c>
      <c r="B12">
        <v>0.91</v>
      </c>
      <c r="C12" s="1">
        <v>10.51</v>
      </c>
      <c r="D12" s="11">
        <f t="shared" si="0"/>
        <v>11.111111111111114</v>
      </c>
      <c r="E12" s="2">
        <v>10.327</v>
      </c>
      <c r="F12" s="1">
        <v>5.9279999999999999</v>
      </c>
      <c r="G12" s="11">
        <f t="shared" si="1"/>
        <v>6.0555555555555571</v>
      </c>
      <c r="H12" s="2">
        <v>5.2060000000000004</v>
      </c>
    </row>
    <row r="13" spans="1:23" ht="15" thickBot="1" x14ac:dyDescent="0.4">
      <c r="A13" s="3">
        <v>10</v>
      </c>
      <c r="B13" s="4">
        <v>0.99</v>
      </c>
      <c r="C13" s="3">
        <v>66.727999999999994</v>
      </c>
      <c r="D13" s="12"/>
      <c r="E13" s="5">
        <v>67.209000000000003</v>
      </c>
      <c r="F13" s="3">
        <v>27.202000000000002</v>
      </c>
      <c r="G13" s="12"/>
      <c r="H13" s="5">
        <v>20.518999999999998</v>
      </c>
    </row>
  </sheetData>
  <mergeCells count="18">
    <mergeCell ref="R1:W1"/>
    <mergeCell ref="R2:S2"/>
    <mergeCell ref="T2:U2"/>
    <mergeCell ref="V2:W2"/>
    <mergeCell ref="A1:A3"/>
    <mergeCell ref="B1:B3"/>
    <mergeCell ref="J1:J3"/>
    <mergeCell ref="C1:E1"/>
    <mergeCell ref="F1:H1"/>
    <mergeCell ref="C2:D2"/>
    <mergeCell ref="E2:E3"/>
    <mergeCell ref="F2:G2"/>
    <mergeCell ref="H2:H3"/>
    <mergeCell ref="K1:K3"/>
    <mergeCell ref="L1:Q1"/>
    <mergeCell ref="L2:M2"/>
    <mergeCell ref="N2:O2"/>
    <mergeCell ref="P2:Q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Taipan ⠀</dc:creator>
  <cp:lastModifiedBy>Taipan ⠀</cp:lastModifiedBy>
  <dcterms:created xsi:type="dcterms:W3CDTF">2024-09-25T10:24:42Z</dcterms:created>
  <dcterms:modified xsi:type="dcterms:W3CDTF">2024-10-02T11:26:03Z</dcterms:modified>
</cp:coreProperties>
</file>