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G:\study\works\ММСС\lab2\"/>
    </mc:Choice>
  </mc:AlternateContent>
  <xr:revisionPtr revIDLastSave="0" documentId="13_ncr:1_{2917804C-772D-4A2D-AA8D-2AEF69D3A261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5" i="1"/>
  <c r="D6" i="1"/>
  <c r="D7" i="1"/>
  <c r="D8" i="1"/>
  <c r="D9" i="1"/>
  <c r="D10" i="1"/>
  <c r="D11" i="1"/>
  <c r="D12" i="1"/>
  <c r="D13" i="1"/>
  <c r="D14" i="1"/>
  <c r="D5" i="1"/>
</calcChain>
</file>

<file path=xl/sharedStrings.xml><?xml version="1.0" encoding="utf-8"?>
<sst xmlns="http://schemas.openxmlformats.org/spreadsheetml/2006/main" count="34" uniqueCount="19">
  <si>
    <t>N</t>
  </si>
  <si>
    <t>a</t>
  </si>
  <si>
    <t>Время доставки</t>
  </si>
  <si>
    <t>Имит. Модель</t>
  </si>
  <si>
    <t>Имит. модель</t>
  </si>
  <si>
    <t>Аналит. Модель</t>
  </si>
  <si>
    <t xml:space="preserve">СКО времени доставки </t>
  </si>
  <si>
    <t>M/M/1</t>
  </si>
  <si>
    <t>M/D/1</t>
  </si>
  <si>
    <t>СКО времени доставки</t>
  </si>
  <si>
    <t>Первая фаза</t>
  </si>
  <si>
    <t>Вторая фаза</t>
  </si>
  <si>
    <t>I</t>
  </si>
  <si>
    <t>II</t>
  </si>
  <si>
    <t>III</t>
  </si>
  <si>
    <t>S1</t>
  </si>
  <si>
    <t>T1</t>
  </si>
  <si>
    <t>T2</t>
  </si>
  <si>
    <t>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</si>
</sst>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М/М/1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36920384951881E-2"/>
          <c:y val="0.17171296296296298"/>
          <c:w val="0.89019685039370078"/>
          <c:h val="0.61498432487605714"/>
        </c:manualLayout>
      </c:layout>
      <c:lineChart>
        <c:grouping val="standard"/>
        <c:varyColors val="0"/>
        <c:ser>
          <c:idx val="2"/>
          <c:order val="2"/>
          <c:tx>
            <c:strRef>
              <c:f>Лист1!$C$3</c:f>
              <c:strCache>
                <c:ptCount val="1"/>
                <c:pt idx="0">
                  <c:v>Имит. модель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Лист1!$B$5:$B$14</c15:sqref>
                  </c15:fullRef>
                </c:ext>
              </c:extLst>
              <c:f>Лист1!$B$5:$B$14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0.99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Лист1!$C$5:$C$14</c15:sqref>
                  </c15:fullRef>
                </c:ext>
              </c:extLst>
              <c:f>Лист1!$C$5:$C$14</c:f>
              <c:numCache>
                <c:formatCode>0.000</c:formatCode>
                <c:ptCount val="10"/>
                <c:pt idx="0">
                  <c:v>1.1080000000000001</c:v>
                </c:pt>
                <c:pt idx="1">
                  <c:v>1.147</c:v>
                </c:pt>
                <c:pt idx="2">
                  <c:v>1.4179999999999999</c:v>
                </c:pt>
                <c:pt idx="3">
                  <c:v>1.665</c:v>
                </c:pt>
                <c:pt idx="4">
                  <c:v>2.0299999999999998</c:v>
                </c:pt>
                <c:pt idx="5">
                  <c:v>2.4409999999999998</c:v>
                </c:pt>
                <c:pt idx="6">
                  <c:v>3.399</c:v>
                </c:pt>
                <c:pt idx="7">
                  <c:v>5.125</c:v>
                </c:pt>
                <c:pt idx="8">
                  <c:v>8.8740000000000006</c:v>
                </c:pt>
                <c:pt idx="9">
                  <c:v>66.727999999999994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ED-4563-A00B-EEEAB6B4799E}"/>
            </c:ext>
          </c:extLst>
        </c:ser>
        <c:ser>
          <c:idx val="3"/>
          <c:order val="3"/>
          <c:tx>
            <c:strRef>
              <c:f>Лист1!$D$3</c:f>
              <c:strCache>
                <c:ptCount val="1"/>
                <c:pt idx="0">
                  <c:v>Аналит. Модель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Лист1!$B$5:$B$14</c15:sqref>
                  </c15:fullRef>
                </c:ext>
              </c:extLst>
              <c:f>Лист1!$B$5:$B$14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0.99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Лист1!$D$5:$D$14</c15:sqref>
                  </c15:fullRef>
                </c:ext>
              </c:extLst>
              <c:f>Лист1!$D$5:$D$14</c:f>
              <c:numCache>
                <c:formatCode>0.000</c:formatCode>
                <c:ptCount val="10"/>
                <c:pt idx="0">
                  <c:v>1.1111111111111112</c:v>
                </c:pt>
                <c:pt idx="1">
                  <c:v>1.25</c:v>
                </c:pt>
                <c:pt idx="2">
                  <c:v>1.4285714285714286</c:v>
                </c:pt>
                <c:pt idx="3">
                  <c:v>1.6666666666666667</c:v>
                </c:pt>
                <c:pt idx="4">
                  <c:v>2</c:v>
                </c:pt>
                <c:pt idx="5">
                  <c:v>2.5</c:v>
                </c:pt>
                <c:pt idx="6">
                  <c:v>3.333333333333333</c:v>
                </c:pt>
                <c:pt idx="7">
                  <c:v>5.0000000000000009</c:v>
                </c:pt>
                <c:pt idx="8">
                  <c:v>10.000000000000002</c:v>
                </c:pt>
                <c:pt idx="9">
                  <c:v>99.999999999999915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D-4563-A00B-EEEAB6B47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8859376"/>
        <c:axId val="568869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Лист1!$A$1:$A$2</c15:sqref>
                        </c15:formulaRef>
                      </c:ext>
                    </c:extLst>
                    <c:strCache>
                      <c:ptCount val="2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Лист1!$B$5:$B$14</c15:sqref>
                        </c15:fullRef>
                        <c15:formulaRef>
                          <c15:sqref>Лист1!$B$5:$B$14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Лист1!$A$3:$A$14</c15:sqref>
                        </c15:fullRef>
                        <c15:formulaRef>
                          <c15:sqref>Лист1!$A$3:$A$12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2">
                        <c:v>1</c:v>
                      </c:pt>
                      <c:pt idx="3">
                        <c:v>2</c:v>
                      </c:pt>
                      <c:pt idx="4">
                        <c:v>3</c:v>
                      </c:pt>
                      <c:pt idx="5">
                        <c:v>4</c:v>
                      </c:pt>
                      <c:pt idx="6">
                        <c:v>5</c:v>
                      </c:pt>
                      <c:pt idx="7">
                        <c:v>6</c:v>
                      </c:pt>
                      <c:pt idx="8">
                        <c:v>7</c:v>
                      </c:pt>
                      <c:pt idx="9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ED-4563-A00B-EEEAB6B4799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Лист1!$B$1:$B$2</c15:sqref>
                        </c15:formulaRef>
                      </c:ext>
                    </c:extLst>
                    <c:strCache>
                      <c:ptCount val="2"/>
                      <c:pt idx="0">
                        <c:v>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Лист1!$B$5:$B$14</c15:sqref>
                        </c15:fullRef>
                        <c15:formulaRef>
                          <c15:sqref>Лист1!$B$5:$B$14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Лист1!$B$3:$B$14</c15:sqref>
                        </c15:fullRef>
                        <c15:formulaRef>
                          <c15:sqref>Лист1!$B$3:$B$12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2">
                        <c:v>0.1</c:v>
                      </c:pt>
                      <c:pt idx="3">
                        <c:v>0.2</c:v>
                      </c:pt>
                      <c:pt idx="4">
                        <c:v>0.3</c:v>
                      </c:pt>
                      <c:pt idx="5">
                        <c:v>0.4</c:v>
                      </c:pt>
                      <c:pt idx="6">
                        <c:v>0.5</c:v>
                      </c:pt>
                      <c:pt idx="7">
                        <c:v>0.6</c:v>
                      </c:pt>
                      <c:pt idx="8">
                        <c:v>0.7</c:v>
                      </c:pt>
                      <c:pt idx="9">
                        <c:v>0.8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9ED-4563-A00B-EEEAB6B4799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Лист1!$E$1:$E$2</c15:sqref>
                        </c15:formulaRef>
                      </c:ext>
                    </c:extLst>
                    <c:strCache>
                      <c:ptCount val="2"/>
                      <c:pt idx="0">
                        <c:v>M/M/1</c:v>
                      </c:pt>
                      <c:pt idx="1">
                        <c:v>СКО времени доставки 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Лист1!$B$5:$B$14</c15:sqref>
                        </c15:fullRef>
                        <c15:formulaRef>
                          <c15:sqref>Лист1!$B$5:$B$14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Лист1!$E$3:$E$14</c15:sqref>
                        </c15:fullRef>
                        <c15:formulaRef>
                          <c15:sqref>Лист1!$E$3:$E$12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2" formatCode="0.000">
                        <c:v>1.1000000000000001</c:v>
                      </c:pt>
                      <c:pt idx="3" formatCode="0.000">
                        <c:v>1.242</c:v>
                      </c:pt>
                      <c:pt idx="4" formatCode="0.000">
                        <c:v>1.415</c:v>
                      </c:pt>
                      <c:pt idx="5" formatCode="0.000">
                        <c:v>1.6419999999999999</c:v>
                      </c:pt>
                      <c:pt idx="6" formatCode="0.000">
                        <c:v>2.0369999999999999</c:v>
                      </c:pt>
                      <c:pt idx="7" formatCode="0.000">
                        <c:v>2.4620000000000002</c:v>
                      </c:pt>
                      <c:pt idx="8" formatCode="0.000">
                        <c:v>3.3319999999999999</c:v>
                      </c:pt>
                      <c:pt idx="9" formatCode="0.000">
                        <c:v>5.6459999999999999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9ED-4563-A00B-EEEAB6B4799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Лист1!$F$1:$F$2</c15:sqref>
                        </c15:formulaRef>
                      </c:ext>
                    </c:extLst>
                    <c:strCache>
                      <c:ptCount val="2"/>
                      <c:pt idx="0">
                        <c:v>M/D/1</c:v>
                      </c:pt>
                      <c:pt idx="1">
                        <c:v>Время доставки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Лист1!$B$5:$B$14</c15:sqref>
                        </c15:fullRef>
                        <c15:formulaRef>
                          <c15:sqref>Лист1!$B$5:$B$14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Лист1!$F$3:$F$14</c15:sqref>
                        </c15:fullRef>
                        <c15:formulaRef>
                          <c15:sqref>Лист1!$F$3:$F$12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2" formatCode="0.000">
                        <c:v>1.0549999999999999</c:v>
                      </c:pt>
                      <c:pt idx="3" formatCode="0.000">
                        <c:v>1.1240000000000001</c:v>
                      </c:pt>
                      <c:pt idx="4" formatCode="0.000">
                        <c:v>1.212</c:v>
                      </c:pt>
                      <c:pt idx="5" formatCode="0.000">
                        <c:v>1.331</c:v>
                      </c:pt>
                      <c:pt idx="6" formatCode="0.000">
                        <c:v>1.4930000000000001</c:v>
                      </c:pt>
                      <c:pt idx="7" formatCode="0.000">
                        <c:v>1.732</c:v>
                      </c:pt>
                      <c:pt idx="8" formatCode="0.000">
                        <c:v>2.129</c:v>
                      </c:pt>
                      <c:pt idx="9" formatCode="0.000">
                        <c:v>2.9820000000000002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9ED-4563-A00B-EEEAB6B4799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Лист1!$G$1:$G$2</c15:sqref>
                        </c15:formulaRef>
                      </c:ext>
                    </c:extLst>
                    <c:strCache>
                      <c:ptCount val="2"/>
                      <c:pt idx="0">
                        <c:v>M/D/1</c:v>
                      </c:pt>
                      <c:pt idx="1">
                        <c:v>Время доставки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Лист1!$B$5:$B$14</c15:sqref>
                        </c15:fullRef>
                        <c15:formulaRef>
                          <c15:sqref>Лист1!$B$5:$B$14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Лист1!$G$3:$G$14</c15:sqref>
                        </c15:fullRef>
                        <c15:formulaRef>
                          <c15:sqref>Лист1!$G$3:$G$12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2" formatCode="0.000">
                        <c:v>1.0555555555555556</c:v>
                      </c:pt>
                      <c:pt idx="3" formatCode="0.000">
                        <c:v>1.125</c:v>
                      </c:pt>
                      <c:pt idx="4" formatCode="0.000">
                        <c:v>1.2142857142857144</c:v>
                      </c:pt>
                      <c:pt idx="5" formatCode="0.000">
                        <c:v>1.3333333333333335</c:v>
                      </c:pt>
                      <c:pt idx="6" formatCode="0.000">
                        <c:v>1.5</c:v>
                      </c:pt>
                      <c:pt idx="7" formatCode="0.000">
                        <c:v>1.75</c:v>
                      </c:pt>
                      <c:pt idx="8" formatCode="0.000">
                        <c:v>2.1666666666666665</c:v>
                      </c:pt>
                      <c:pt idx="9" formatCode="0.000">
                        <c:v>3.0000000000000004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9ED-4563-A00B-EEEAB6B4799E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Лист1!$H$1:$H$2</c15:sqref>
                        </c15:formulaRef>
                      </c:ext>
                    </c:extLst>
                    <c:strCache>
                      <c:ptCount val="2"/>
                      <c:pt idx="0">
                        <c:v>M/D/1</c:v>
                      </c:pt>
                      <c:pt idx="1">
                        <c:v>СКО времени доставки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Лист1!$B$5:$B$14</c15:sqref>
                        </c15:fullRef>
                        <c15:formulaRef>
                          <c15:sqref>Лист1!$B$5:$B$14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Лист1!$H$3:$H$14</c15:sqref>
                        </c15:fullRef>
                        <c15:formulaRef>
                          <c15:sqref>Лист1!$H$3:$H$12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2" formatCode="0.000">
                        <c:v>1.2</c:v>
                      </c:pt>
                      <c:pt idx="3" formatCode="0.000">
                        <c:v>0.312</c:v>
                      </c:pt>
                      <c:pt idx="4" formatCode="0.000">
                        <c:v>0.42899999999999999</c:v>
                      </c:pt>
                      <c:pt idx="5" formatCode="0.000">
                        <c:v>0.56999999999999995</c:v>
                      </c:pt>
                      <c:pt idx="6" formatCode="0.000">
                        <c:v>0.749</c:v>
                      </c:pt>
                      <c:pt idx="7" formatCode="0.000">
                        <c:v>0.99099999999999999</c:v>
                      </c:pt>
                      <c:pt idx="8" formatCode="0.000">
                        <c:v>1.3819999999999999</c:v>
                      </c:pt>
                      <c:pt idx="9" formatCode="0.000">
                        <c:v>2.266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9ED-4563-A00B-EEEAB6B4799E}"/>
                  </c:ext>
                </c:extLst>
              </c15:ser>
            </c15:filteredLineSeries>
          </c:ext>
        </c:extLst>
      </c:lineChart>
      <c:catAx>
        <c:axId val="56885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8869360"/>
        <c:crosses val="autoZero"/>
        <c:auto val="1"/>
        <c:lblAlgn val="ctr"/>
        <c:lblOffset val="100"/>
        <c:noMultiLvlLbl val="0"/>
      </c:catAx>
      <c:valAx>
        <c:axId val="56886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885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М/</a:t>
            </a:r>
            <a:r>
              <a:rPr lang="en-US"/>
              <a:t>D</a:t>
            </a:r>
            <a:r>
              <a:rPr lang="ru-RU"/>
              <a:t>/1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Лист1!$C$3</c:f>
              <c:strCache>
                <c:ptCount val="1"/>
                <c:pt idx="0">
                  <c:v>Имит. модель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Лист1!$B$5:$B$14</c15:sqref>
                  </c15:fullRef>
                </c:ext>
              </c:extLst>
              <c:f>Лист1!$B$5:$B$14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0.99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Лист1!$F$5:$F$14</c15:sqref>
                  </c15:fullRef>
                </c:ext>
              </c:extLst>
              <c:f>Лист1!$F$5:$F$14</c:f>
              <c:numCache>
                <c:formatCode>0.000</c:formatCode>
                <c:ptCount val="10"/>
                <c:pt idx="0">
                  <c:v>1.0549999999999999</c:v>
                </c:pt>
                <c:pt idx="1">
                  <c:v>1.1240000000000001</c:v>
                </c:pt>
                <c:pt idx="2">
                  <c:v>1.212</c:v>
                </c:pt>
                <c:pt idx="3">
                  <c:v>1.331</c:v>
                </c:pt>
                <c:pt idx="4">
                  <c:v>1.4930000000000001</c:v>
                </c:pt>
                <c:pt idx="5">
                  <c:v>1.732</c:v>
                </c:pt>
                <c:pt idx="6">
                  <c:v>2.129</c:v>
                </c:pt>
                <c:pt idx="7">
                  <c:v>2.9820000000000002</c:v>
                </c:pt>
                <c:pt idx="8">
                  <c:v>5.4370000000000003</c:v>
                </c:pt>
                <c:pt idx="9">
                  <c:v>27.202000000000002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AE-4E65-88F7-B29032794F2F}"/>
            </c:ext>
          </c:extLst>
        </c:ser>
        <c:ser>
          <c:idx val="3"/>
          <c:order val="3"/>
          <c:tx>
            <c:strRef>
              <c:f>Лист1!$D$3</c:f>
              <c:strCache>
                <c:ptCount val="1"/>
                <c:pt idx="0">
                  <c:v>Аналит. Модель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Лист1!$B$5:$B$14</c15:sqref>
                  </c15:fullRef>
                </c:ext>
              </c:extLst>
              <c:f>Лист1!$B$5:$B$14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0.99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Лист1!$G$5:$G$14</c15:sqref>
                  </c15:fullRef>
                </c:ext>
              </c:extLst>
              <c:f>Лист1!$G$5:$G$14</c:f>
              <c:numCache>
                <c:formatCode>0.000</c:formatCode>
                <c:ptCount val="10"/>
                <c:pt idx="0">
                  <c:v>1.0555555555555556</c:v>
                </c:pt>
                <c:pt idx="1">
                  <c:v>1.125</c:v>
                </c:pt>
                <c:pt idx="2">
                  <c:v>1.2142857142857144</c:v>
                </c:pt>
                <c:pt idx="3">
                  <c:v>1.3333333333333335</c:v>
                </c:pt>
                <c:pt idx="4">
                  <c:v>1.5</c:v>
                </c:pt>
                <c:pt idx="5">
                  <c:v>1.75</c:v>
                </c:pt>
                <c:pt idx="6">
                  <c:v>2.1666666666666665</c:v>
                </c:pt>
                <c:pt idx="7">
                  <c:v>3.0000000000000004</c:v>
                </c:pt>
                <c:pt idx="8">
                  <c:v>5.5000000000000009</c:v>
                </c:pt>
                <c:pt idx="9">
                  <c:v>50.499999999999957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AE-4E65-88F7-B29032794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8859376"/>
        <c:axId val="568869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Лист1!$A$1:$A$2</c15:sqref>
                        </c15:formulaRef>
                      </c:ext>
                    </c:extLst>
                    <c:strCache>
                      <c:ptCount val="2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Лист1!$B$5:$B$14</c15:sqref>
                        </c15:fullRef>
                        <c15:formulaRef>
                          <c15:sqref>Лист1!$B$5:$B$14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Лист1!$A$3:$A$14</c15:sqref>
                        </c15:fullRef>
                        <c15:formulaRef>
                          <c15:sqref>Лист1!$A$3:$A$12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2">
                        <c:v>1</c:v>
                      </c:pt>
                      <c:pt idx="3">
                        <c:v>2</c:v>
                      </c:pt>
                      <c:pt idx="4">
                        <c:v>3</c:v>
                      </c:pt>
                      <c:pt idx="5">
                        <c:v>4</c:v>
                      </c:pt>
                      <c:pt idx="6">
                        <c:v>5</c:v>
                      </c:pt>
                      <c:pt idx="7">
                        <c:v>6</c:v>
                      </c:pt>
                      <c:pt idx="8">
                        <c:v>7</c:v>
                      </c:pt>
                      <c:pt idx="9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2AE-4E65-88F7-B29032794F2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Лист1!$B$1:$B$2</c15:sqref>
                        </c15:formulaRef>
                      </c:ext>
                    </c:extLst>
                    <c:strCache>
                      <c:ptCount val="2"/>
                      <c:pt idx="0">
                        <c:v>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Лист1!$B$5:$B$14</c15:sqref>
                        </c15:fullRef>
                        <c15:formulaRef>
                          <c15:sqref>Лист1!$B$5:$B$14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Лист1!$B$3:$B$14</c15:sqref>
                        </c15:fullRef>
                        <c15:formulaRef>
                          <c15:sqref>Лист1!$B$3:$B$12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2">
                        <c:v>0.1</c:v>
                      </c:pt>
                      <c:pt idx="3">
                        <c:v>0.2</c:v>
                      </c:pt>
                      <c:pt idx="4">
                        <c:v>0.3</c:v>
                      </c:pt>
                      <c:pt idx="5">
                        <c:v>0.4</c:v>
                      </c:pt>
                      <c:pt idx="6">
                        <c:v>0.5</c:v>
                      </c:pt>
                      <c:pt idx="7">
                        <c:v>0.6</c:v>
                      </c:pt>
                      <c:pt idx="8">
                        <c:v>0.7</c:v>
                      </c:pt>
                      <c:pt idx="9">
                        <c:v>0.8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2AE-4E65-88F7-B29032794F2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Лист1!$E$1:$E$2</c15:sqref>
                        </c15:formulaRef>
                      </c:ext>
                    </c:extLst>
                    <c:strCache>
                      <c:ptCount val="2"/>
                      <c:pt idx="0">
                        <c:v>M/M/1</c:v>
                      </c:pt>
                      <c:pt idx="1">
                        <c:v>СКО времени доставки 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Лист1!$B$5:$B$14</c15:sqref>
                        </c15:fullRef>
                        <c15:formulaRef>
                          <c15:sqref>Лист1!$B$5:$B$14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Лист1!$E$3:$E$14</c15:sqref>
                        </c15:fullRef>
                        <c15:formulaRef>
                          <c15:sqref>Лист1!$E$3:$E$12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2" formatCode="0.000">
                        <c:v>1.1000000000000001</c:v>
                      </c:pt>
                      <c:pt idx="3" formatCode="0.000">
                        <c:v>1.242</c:v>
                      </c:pt>
                      <c:pt idx="4" formatCode="0.000">
                        <c:v>1.415</c:v>
                      </c:pt>
                      <c:pt idx="5" formatCode="0.000">
                        <c:v>1.6419999999999999</c:v>
                      </c:pt>
                      <c:pt idx="6" formatCode="0.000">
                        <c:v>2.0369999999999999</c:v>
                      </c:pt>
                      <c:pt idx="7" formatCode="0.000">
                        <c:v>2.4620000000000002</c:v>
                      </c:pt>
                      <c:pt idx="8" formatCode="0.000">
                        <c:v>3.3319999999999999</c:v>
                      </c:pt>
                      <c:pt idx="9" formatCode="0.000">
                        <c:v>5.6459999999999999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2AE-4E65-88F7-B29032794F2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Лист1!$F$1:$F$2</c15:sqref>
                        </c15:formulaRef>
                      </c:ext>
                    </c:extLst>
                    <c:strCache>
                      <c:ptCount val="2"/>
                      <c:pt idx="0">
                        <c:v>M/D/1</c:v>
                      </c:pt>
                      <c:pt idx="1">
                        <c:v>Время доставки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Лист1!$B$5:$B$14</c15:sqref>
                        </c15:fullRef>
                        <c15:formulaRef>
                          <c15:sqref>Лист1!$B$5:$B$14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Лист1!$F$3:$F$14</c15:sqref>
                        </c15:fullRef>
                        <c15:formulaRef>
                          <c15:sqref>Лист1!$F$3:$F$12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2" formatCode="0.000">
                        <c:v>1.0549999999999999</c:v>
                      </c:pt>
                      <c:pt idx="3" formatCode="0.000">
                        <c:v>1.1240000000000001</c:v>
                      </c:pt>
                      <c:pt idx="4" formatCode="0.000">
                        <c:v>1.212</c:v>
                      </c:pt>
                      <c:pt idx="5" formatCode="0.000">
                        <c:v>1.331</c:v>
                      </c:pt>
                      <c:pt idx="6" formatCode="0.000">
                        <c:v>1.4930000000000001</c:v>
                      </c:pt>
                      <c:pt idx="7" formatCode="0.000">
                        <c:v>1.732</c:v>
                      </c:pt>
                      <c:pt idx="8" formatCode="0.000">
                        <c:v>2.129</c:v>
                      </c:pt>
                      <c:pt idx="9" formatCode="0.000">
                        <c:v>2.9820000000000002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2AE-4E65-88F7-B29032794F2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Лист1!$G$1:$G$2</c15:sqref>
                        </c15:formulaRef>
                      </c:ext>
                    </c:extLst>
                    <c:strCache>
                      <c:ptCount val="2"/>
                      <c:pt idx="0">
                        <c:v>M/D/1</c:v>
                      </c:pt>
                      <c:pt idx="1">
                        <c:v>Время доставки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Лист1!$B$5:$B$14</c15:sqref>
                        </c15:fullRef>
                        <c15:formulaRef>
                          <c15:sqref>Лист1!$B$5:$B$14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Лист1!$G$3:$G$14</c15:sqref>
                        </c15:fullRef>
                        <c15:formulaRef>
                          <c15:sqref>Лист1!$G$3:$G$12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2" formatCode="0.000">
                        <c:v>1.0555555555555556</c:v>
                      </c:pt>
                      <c:pt idx="3" formatCode="0.000">
                        <c:v>1.125</c:v>
                      </c:pt>
                      <c:pt idx="4" formatCode="0.000">
                        <c:v>1.2142857142857144</c:v>
                      </c:pt>
                      <c:pt idx="5" formatCode="0.000">
                        <c:v>1.3333333333333335</c:v>
                      </c:pt>
                      <c:pt idx="6" formatCode="0.000">
                        <c:v>1.5</c:v>
                      </c:pt>
                      <c:pt idx="7" formatCode="0.000">
                        <c:v>1.75</c:v>
                      </c:pt>
                      <c:pt idx="8" formatCode="0.000">
                        <c:v>2.1666666666666665</c:v>
                      </c:pt>
                      <c:pt idx="9" formatCode="0.000">
                        <c:v>3.0000000000000004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2AE-4E65-88F7-B29032794F2F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Лист1!$H$1:$H$2</c15:sqref>
                        </c15:formulaRef>
                      </c:ext>
                    </c:extLst>
                    <c:strCache>
                      <c:ptCount val="2"/>
                      <c:pt idx="0">
                        <c:v>M/D/1</c:v>
                      </c:pt>
                      <c:pt idx="1">
                        <c:v>СКО времени доставки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Лист1!$B$5:$B$14</c15:sqref>
                        </c15:fullRef>
                        <c15:formulaRef>
                          <c15:sqref>Лист1!$B$5:$B$14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Лист1!$H$3:$H$14</c15:sqref>
                        </c15:fullRef>
                        <c15:formulaRef>
                          <c15:sqref>Лист1!$H$3:$H$12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2" formatCode="0.000">
                        <c:v>1.2</c:v>
                      </c:pt>
                      <c:pt idx="3" formatCode="0.000">
                        <c:v>0.312</c:v>
                      </c:pt>
                      <c:pt idx="4" formatCode="0.000">
                        <c:v>0.42899999999999999</c:v>
                      </c:pt>
                      <c:pt idx="5" formatCode="0.000">
                        <c:v>0.56999999999999995</c:v>
                      </c:pt>
                      <c:pt idx="6" formatCode="0.000">
                        <c:v>0.749</c:v>
                      </c:pt>
                      <c:pt idx="7" formatCode="0.000">
                        <c:v>0.99099999999999999</c:v>
                      </c:pt>
                      <c:pt idx="8" formatCode="0.000">
                        <c:v>1.3819999999999999</c:v>
                      </c:pt>
                      <c:pt idx="9" formatCode="0.000">
                        <c:v>2.266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2AE-4E65-88F7-B29032794F2F}"/>
                  </c:ext>
                </c:extLst>
              </c15:ser>
            </c15:filteredLineSeries>
          </c:ext>
        </c:extLst>
      </c:lineChart>
      <c:catAx>
        <c:axId val="56885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8869360"/>
        <c:crosses val="autoZero"/>
        <c:auto val="1"/>
        <c:lblAlgn val="ctr"/>
        <c:lblOffset val="100"/>
        <c:noMultiLvlLbl val="0"/>
      </c:catAx>
      <c:valAx>
        <c:axId val="56886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885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Эксперимент</a:t>
            </a:r>
            <a:r>
              <a:rPr lang="ru-RU" baseline="0"/>
              <a:t> 1</a:t>
            </a:r>
          </a:p>
        </c:rich>
      </c:tx>
      <c:layout>
        <c:manualLayout>
          <c:xMode val="edge"/>
          <c:yMode val="edge"/>
          <c:x val="0.3122360017497812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Лист1!$L$1:$L$3</c:f>
              <c:strCache>
                <c:ptCount val="3"/>
                <c:pt idx="0">
                  <c:v>Первая фаза</c:v>
                </c:pt>
                <c:pt idx="1">
                  <c:v>I</c:v>
                </c:pt>
                <c:pt idx="2">
                  <c:v>T1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Лист1!$K$4:$K$8</c:f>
              <c:numCache>
                <c:formatCode>0.0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0.8</c:v>
                </c:pt>
                <c:pt idx="3">
                  <c:v>0.9</c:v>
                </c:pt>
                <c:pt idx="4" formatCode="0.00">
                  <c:v>0.99</c:v>
                </c:pt>
              </c:numCache>
            </c:numRef>
          </c:cat>
          <c:val>
            <c:numRef>
              <c:f>Лист1!$L$4:$L$8</c:f>
              <c:numCache>
                <c:formatCode>General</c:formatCode>
                <c:ptCount val="5"/>
                <c:pt idx="0">
                  <c:v>1.254</c:v>
                </c:pt>
                <c:pt idx="1">
                  <c:v>2</c:v>
                </c:pt>
                <c:pt idx="2">
                  <c:v>5.218</c:v>
                </c:pt>
                <c:pt idx="3">
                  <c:v>9.4060000000000006</c:v>
                </c:pt>
                <c:pt idx="4">
                  <c:v>255.80199999999999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48-424D-96F3-4C977DFEBEA7}"/>
            </c:ext>
          </c:extLst>
        </c:ser>
        <c:ser>
          <c:idx val="8"/>
          <c:order val="8"/>
          <c:tx>
            <c:strRef>
              <c:f>Лист1!$R$1:$R$3</c:f>
              <c:strCache>
                <c:ptCount val="3"/>
                <c:pt idx="0">
                  <c:v>Вторая фаза</c:v>
                </c:pt>
                <c:pt idx="1">
                  <c:v>I</c:v>
                </c:pt>
                <c:pt idx="2">
                  <c:v>T2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Лист1!$K$4:$K$8</c:f>
              <c:numCache>
                <c:formatCode>0.0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0.8</c:v>
                </c:pt>
                <c:pt idx="3">
                  <c:v>0.9</c:v>
                </c:pt>
                <c:pt idx="4" formatCode="0.00">
                  <c:v>0.99</c:v>
                </c:pt>
              </c:numCache>
            </c:numRef>
          </c:cat>
          <c:val>
            <c:numRef>
              <c:f>Лист1!$R$4:$R$8</c:f>
              <c:numCache>
                <c:formatCode>General</c:formatCode>
                <c:ptCount val="5"/>
                <c:pt idx="0">
                  <c:v>1.2569999999999999</c:v>
                </c:pt>
                <c:pt idx="1">
                  <c:v>2.02</c:v>
                </c:pt>
                <c:pt idx="2">
                  <c:v>5.0350000000000001</c:v>
                </c:pt>
                <c:pt idx="3">
                  <c:v>9.8689999999999998</c:v>
                </c:pt>
                <c:pt idx="4">
                  <c:v>49.392000000000003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48-424D-96F3-4C977DFEB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1423248"/>
        <c:axId val="3414203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Лист1!$J$1:$J$3</c15:sqref>
                        </c15:formulaRef>
                      </c:ext>
                    </c:extLst>
                    <c:strCache>
                      <c:ptCount val="3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Лист1!$J$4:$J$8</c15:sqref>
                        </c15:formulaRef>
                      </c:ext>
                    </c:extLst>
                    <c:numCache>
                      <c:formatCode>0</c:formatCode>
                      <c:ptCount val="5"/>
                      <c:pt idx="0" formatCode="General">
                        <c:v>1</c:v>
                      </c:pt>
                      <c:pt idx="1">
                        <c:v>2</c:v>
                      </c:pt>
                      <c:pt idx="2" formatCode="General">
                        <c:v>3</c:v>
                      </c:pt>
                      <c:pt idx="3">
                        <c:v>4</c:v>
                      </c:pt>
                      <c:pt idx="4" formatCode="General">
                        <c:v>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848-424D-96F3-4C977DFEBEA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Лист1!$K$1:$K$3</c15:sqref>
                        </c15:formulaRef>
                      </c:ext>
                    </c:extLst>
                    <c:strCache>
                      <c:ptCount val="3"/>
                      <c:pt idx="0">
                        <c:v>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848-424D-96F3-4C977DFEBEA7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Лист1!$M$1:$M$3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</c:v>
                      </c:pt>
                      <c:pt idx="2">
                        <c:v>S1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Лист1!$M$4:$M$8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1.2629999999999999</c:v>
                      </c:pt>
                      <c:pt idx="1">
                        <c:v>2.0019999999999998</c:v>
                      </c:pt>
                      <c:pt idx="2">
                        <c:v>5.359</c:v>
                      </c:pt>
                      <c:pt idx="3">
                        <c:v>8.67</c:v>
                      </c:pt>
                      <c:pt idx="4">
                        <c:v>145.71600000000001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48-424D-96F3-4C977DFEBEA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Лист1!$N$1:$N$3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II</c:v>
                      </c:pt>
                      <c:pt idx="2">
                        <c:v>T1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Лист1!$N$4:$N$8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1.125</c:v>
                      </c:pt>
                      <c:pt idx="1">
                        <c:v>1.5029999999999999</c:v>
                      </c:pt>
                      <c:pt idx="2">
                        <c:v>2.9</c:v>
                      </c:pt>
                      <c:pt idx="3">
                        <c:v>5.2789999999999999</c:v>
                      </c:pt>
                      <c:pt idx="4">
                        <c:v>52.411999999999999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48-424D-96F3-4C977DFEBEA7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Лист1!$O$1:$O$3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II</c:v>
                      </c:pt>
                      <c:pt idx="2">
                        <c:v>S1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Лист1!$O$4:$O$8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0.315</c:v>
                      </c:pt>
                      <c:pt idx="1">
                        <c:v>0.78</c:v>
                      </c:pt>
                      <c:pt idx="2">
                        <c:v>2.177</c:v>
                      </c:pt>
                      <c:pt idx="3">
                        <c:v>4.3410000000000002</c:v>
                      </c:pt>
                      <c:pt idx="4">
                        <c:v>58.534999999999997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848-424D-96F3-4C977DFEBEA7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Лист1!$P$1:$P$3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III</c:v>
                      </c:pt>
                      <c:pt idx="2">
                        <c:v>T1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Лист1!$P$4:$P$8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1.2430000000000001</c:v>
                      </c:pt>
                      <c:pt idx="1">
                        <c:v>1.9750000000000001</c:v>
                      </c:pt>
                      <c:pt idx="2">
                        <c:v>4.9260000000000002</c:v>
                      </c:pt>
                      <c:pt idx="3">
                        <c:v>9.9749999999999996</c:v>
                      </c:pt>
                      <c:pt idx="4">
                        <c:v>65.332999999999998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848-424D-96F3-4C977DFEBEA7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Лист1!$Q$1:$Q$3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III</c:v>
                      </c:pt>
                      <c:pt idx="2">
                        <c:v>S1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Лист1!$Q$4:$Q$8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1.2330000000000001</c:v>
                      </c:pt>
                      <c:pt idx="1">
                        <c:v>1.9490000000000001</c:v>
                      </c:pt>
                      <c:pt idx="2">
                        <c:v>4.9889999999999999</c:v>
                      </c:pt>
                      <c:pt idx="3">
                        <c:v>10.669</c:v>
                      </c:pt>
                      <c:pt idx="4">
                        <c:v>65.048000000000002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1848-424D-96F3-4C977DFEBEA7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Лист1!$S$1:$S$3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</c:v>
                      </c:pt>
                      <c:pt idx="2">
                        <c:v>S2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Лист1!$S$4:$S$8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1.2689999999999999</c:v>
                      </c:pt>
                      <c:pt idx="1">
                        <c:v>2.0329999999999999</c:v>
                      </c:pt>
                      <c:pt idx="2">
                        <c:v>5.0209999999999999</c:v>
                      </c:pt>
                      <c:pt idx="3">
                        <c:v>9.4429999999999996</c:v>
                      </c:pt>
                      <c:pt idx="4">
                        <c:v>32.643999999999998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1848-424D-96F3-4C977DFEBEA7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Лист1!$T$1:$T$3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II</c:v>
                      </c:pt>
                      <c:pt idx="2">
                        <c:v>T2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Лист1!$T$4:$T$8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1.181</c:v>
                      </c:pt>
                      <c:pt idx="1">
                        <c:v>1.7370000000000001</c:v>
                      </c:pt>
                      <c:pt idx="2">
                        <c:v>3.887</c:v>
                      </c:pt>
                      <c:pt idx="3">
                        <c:v>8.7560000000000002</c:v>
                      </c:pt>
                      <c:pt idx="4">
                        <c:v>36.018000000000001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1848-424D-96F3-4C977DFEBEA7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Лист1!$U$1:$U$3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II</c:v>
                      </c:pt>
                      <c:pt idx="2">
                        <c:v>S2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Лист1!$U$4:$U$8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1.171</c:v>
                      </c:pt>
                      <c:pt idx="1">
                        <c:v>1.778</c:v>
                      </c:pt>
                      <c:pt idx="2">
                        <c:v>4.0960000000000001</c:v>
                      </c:pt>
                      <c:pt idx="3">
                        <c:v>9.9380000000000006</c:v>
                      </c:pt>
                      <c:pt idx="4">
                        <c:v>25.878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1848-424D-96F3-4C977DFEBEA7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Лист1!$V$1:$V$3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III</c:v>
                      </c:pt>
                      <c:pt idx="2">
                        <c:v>T2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Лист1!$V$4:$V$8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1.373</c:v>
                      </c:pt>
                      <c:pt idx="1">
                        <c:v>2.109</c:v>
                      </c:pt>
                      <c:pt idx="2">
                        <c:v>3.4820000000000002</c:v>
                      </c:pt>
                      <c:pt idx="3">
                        <c:v>4.516</c:v>
                      </c:pt>
                      <c:pt idx="4">
                        <c:v>7.556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1848-424D-96F3-4C977DFEBEA7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Лист1!$W$1:$W$3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III</c:v>
                      </c:pt>
                      <c:pt idx="2">
                        <c:v>S2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Лист1!$W$4:$W$8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1.254</c:v>
                      </c:pt>
                      <c:pt idx="1">
                        <c:v>1.577</c:v>
                      </c:pt>
                      <c:pt idx="2">
                        <c:v>1.917</c:v>
                      </c:pt>
                      <c:pt idx="3">
                        <c:v>2.14</c:v>
                      </c:pt>
                      <c:pt idx="4">
                        <c:v>2.5030000000000001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1848-424D-96F3-4C977DFEBEA7}"/>
                  </c:ext>
                </c:extLst>
              </c15:ser>
            </c15:filteredLineSeries>
          </c:ext>
        </c:extLst>
      </c:lineChart>
      <c:catAx>
        <c:axId val="341423248"/>
        <c:scaling>
          <c:orientation val="minMax"/>
        </c:scaling>
        <c:delete val="0"/>
        <c:axPos val="b"/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420336"/>
        <c:crosses val="autoZero"/>
        <c:auto val="1"/>
        <c:lblAlgn val="ctr"/>
        <c:lblOffset val="100"/>
        <c:noMultiLvlLbl val="0"/>
      </c:catAx>
      <c:valAx>
        <c:axId val="34142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42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Эксперимент</a:t>
            </a:r>
            <a:r>
              <a:rPr lang="ru-RU" baseline="0"/>
              <a:t> 2</a:t>
            </a:r>
          </a:p>
        </c:rich>
      </c:tx>
      <c:layout>
        <c:manualLayout>
          <c:xMode val="edge"/>
          <c:yMode val="edge"/>
          <c:x val="0.3122360017497812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4"/>
          <c:order val="4"/>
          <c:tx>
            <c:strRef>
              <c:f>Лист1!$N$1:$N$3</c:f>
              <c:strCache>
                <c:ptCount val="3"/>
                <c:pt idx="0">
                  <c:v>Первая фаза</c:v>
                </c:pt>
                <c:pt idx="1">
                  <c:v>II</c:v>
                </c:pt>
                <c:pt idx="2">
                  <c:v>T1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Лист1!$K$4:$K$8</c:f>
              <c:numCache>
                <c:formatCode>0.0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0.8</c:v>
                </c:pt>
                <c:pt idx="3">
                  <c:v>0.9</c:v>
                </c:pt>
                <c:pt idx="4" formatCode="0.00">
                  <c:v>0.99</c:v>
                </c:pt>
              </c:numCache>
              <c:extLst xmlns:c15="http://schemas.microsoft.com/office/drawing/2012/chart"/>
            </c:numRef>
          </c:cat>
          <c:val>
            <c:numRef>
              <c:f>Лист1!$N$4:$N$8</c:f>
              <c:numCache>
                <c:formatCode>General</c:formatCode>
                <c:ptCount val="5"/>
                <c:pt idx="0">
                  <c:v>1.125</c:v>
                </c:pt>
                <c:pt idx="1">
                  <c:v>1.5029999999999999</c:v>
                </c:pt>
                <c:pt idx="2">
                  <c:v>2.9</c:v>
                </c:pt>
                <c:pt idx="3">
                  <c:v>5.2789999999999999</c:v>
                </c:pt>
                <c:pt idx="4">
                  <c:v>52.411999999999999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5-B790-405B-BAED-D47778959CED}"/>
            </c:ext>
          </c:extLst>
        </c:ser>
        <c:ser>
          <c:idx val="10"/>
          <c:order val="10"/>
          <c:tx>
            <c:strRef>
              <c:f>Лист1!$T$1:$T$3</c:f>
              <c:strCache>
                <c:ptCount val="3"/>
                <c:pt idx="0">
                  <c:v>Вторая фаза</c:v>
                </c:pt>
                <c:pt idx="1">
                  <c:v>II</c:v>
                </c:pt>
                <c:pt idx="2">
                  <c:v>T2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Лист1!$K$4:$K$8</c:f>
              <c:numCache>
                <c:formatCode>0.0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0.8</c:v>
                </c:pt>
                <c:pt idx="3">
                  <c:v>0.9</c:v>
                </c:pt>
                <c:pt idx="4" formatCode="0.00">
                  <c:v>0.99</c:v>
                </c:pt>
              </c:numCache>
              <c:extLst xmlns:c15="http://schemas.microsoft.com/office/drawing/2012/chart"/>
            </c:numRef>
          </c:cat>
          <c:val>
            <c:numRef>
              <c:f>Лист1!$T$4:$T$8</c:f>
              <c:numCache>
                <c:formatCode>General</c:formatCode>
                <c:ptCount val="5"/>
                <c:pt idx="0">
                  <c:v>1.181</c:v>
                </c:pt>
                <c:pt idx="1">
                  <c:v>1.7370000000000001</c:v>
                </c:pt>
                <c:pt idx="2">
                  <c:v>3.887</c:v>
                </c:pt>
                <c:pt idx="3">
                  <c:v>8.7560000000000002</c:v>
                </c:pt>
                <c:pt idx="4">
                  <c:v>36.018000000000001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A-B790-405B-BAED-D47778959C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1423248"/>
        <c:axId val="3414203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Лист1!$J$1:$J$3</c15:sqref>
                        </c15:formulaRef>
                      </c:ext>
                    </c:extLst>
                    <c:strCache>
                      <c:ptCount val="3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Лист1!$J$4:$J$8</c15:sqref>
                        </c15:formulaRef>
                      </c:ext>
                    </c:extLst>
                    <c:numCache>
                      <c:formatCode>0</c:formatCode>
                      <c:ptCount val="5"/>
                      <c:pt idx="0" formatCode="General">
                        <c:v>1</c:v>
                      </c:pt>
                      <c:pt idx="1">
                        <c:v>2</c:v>
                      </c:pt>
                      <c:pt idx="2" formatCode="General">
                        <c:v>3</c:v>
                      </c:pt>
                      <c:pt idx="3">
                        <c:v>4</c:v>
                      </c:pt>
                      <c:pt idx="4" formatCode="General">
                        <c:v>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790-405B-BAED-D47778959CE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Лист1!$K$1:$K$3</c15:sqref>
                        </c15:formulaRef>
                      </c:ext>
                    </c:extLst>
                    <c:strCache>
                      <c:ptCount val="3"/>
                      <c:pt idx="0">
                        <c:v>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790-405B-BAED-D47778959CE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Лист1!$L$1:$L$3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</c:v>
                      </c:pt>
                      <c:pt idx="2">
                        <c:v>T1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Лист1!$L$4:$L$8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1.254</c:v>
                      </c:pt>
                      <c:pt idx="1">
                        <c:v>2</c:v>
                      </c:pt>
                      <c:pt idx="2">
                        <c:v>5.218</c:v>
                      </c:pt>
                      <c:pt idx="3">
                        <c:v>9.4060000000000006</c:v>
                      </c:pt>
                      <c:pt idx="4">
                        <c:v>255.80199999999999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B790-405B-BAED-D47778959CE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Лист1!$M$1:$M$3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</c:v>
                      </c:pt>
                      <c:pt idx="2">
                        <c:v>S1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Лист1!$M$4:$M$8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1.2629999999999999</c:v>
                      </c:pt>
                      <c:pt idx="1">
                        <c:v>2.0019999999999998</c:v>
                      </c:pt>
                      <c:pt idx="2">
                        <c:v>5.359</c:v>
                      </c:pt>
                      <c:pt idx="3">
                        <c:v>8.67</c:v>
                      </c:pt>
                      <c:pt idx="4">
                        <c:v>145.71600000000001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790-405B-BAED-D47778959CE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Лист1!$O$1:$O$3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II</c:v>
                      </c:pt>
                      <c:pt idx="2">
                        <c:v>S1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Лист1!$O$4:$O$8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0.315</c:v>
                      </c:pt>
                      <c:pt idx="1">
                        <c:v>0.78</c:v>
                      </c:pt>
                      <c:pt idx="2">
                        <c:v>2.177</c:v>
                      </c:pt>
                      <c:pt idx="3">
                        <c:v>4.3410000000000002</c:v>
                      </c:pt>
                      <c:pt idx="4">
                        <c:v>58.534999999999997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790-405B-BAED-D47778959CE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Лист1!$P$1:$P$3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III</c:v>
                      </c:pt>
                      <c:pt idx="2">
                        <c:v>T1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Лист1!$P$4:$P$8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1.2430000000000001</c:v>
                      </c:pt>
                      <c:pt idx="1">
                        <c:v>1.9750000000000001</c:v>
                      </c:pt>
                      <c:pt idx="2">
                        <c:v>4.9260000000000002</c:v>
                      </c:pt>
                      <c:pt idx="3">
                        <c:v>9.9749999999999996</c:v>
                      </c:pt>
                      <c:pt idx="4">
                        <c:v>65.332999999999998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790-405B-BAED-D47778959CE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Лист1!$Q$1:$Q$3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III</c:v>
                      </c:pt>
                      <c:pt idx="2">
                        <c:v>S1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Лист1!$Q$4:$Q$8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1.2330000000000001</c:v>
                      </c:pt>
                      <c:pt idx="1">
                        <c:v>1.9490000000000001</c:v>
                      </c:pt>
                      <c:pt idx="2">
                        <c:v>4.9889999999999999</c:v>
                      </c:pt>
                      <c:pt idx="3">
                        <c:v>10.669</c:v>
                      </c:pt>
                      <c:pt idx="4">
                        <c:v>65.048000000000002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B790-405B-BAED-D47778959CE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Лист1!$R$1:$R$3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</c:v>
                      </c:pt>
                      <c:pt idx="2">
                        <c:v>T2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Лист1!$R$4:$R$8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1.2569999999999999</c:v>
                      </c:pt>
                      <c:pt idx="1">
                        <c:v>2.02</c:v>
                      </c:pt>
                      <c:pt idx="2">
                        <c:v>5.0350000000000001</c:v>
                      </c:pt>
                      <c:pt idx="3">
                        <c:v>9.8689999999999998</c:v>
                      </c:pt>
                      <c:pt idx="4">
                        <c:v>49.392000000000003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790-405B-BAED-D47778959CE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Лист1!$S$1:$S$3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</c:v>
                      </c:pt>
                      <c:pt idx="2">
                        <c:v>S2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Лист1!$S$4:$S$8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1.2689999999999999</c:v>
                      </c:pt>
                      <c:pt idx="1">
                        <c:v>2.0329999999999999</c:v>
                      </c:pt>
                      <c:pt idx="2">
                        <c:v>5.0209999999999999</c:v>
                      </c:pt>
                      <c:pt idx="3">
                        <c:v>9.4429999999999996</c:v>
                      </c:pt>
                      <c:pt idx="4">
                        <c:v>32.643999999999998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790-405B-BAED-D47778959CE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Лист1!$U$1:$U$3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II</c:v>
                      </c:pt>
                      <c:pt idx="2">
                        <c:v>S2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Лист1!$U$4:$U$8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1.171</c:v>
                      </c:pt>
                      <c:pt idx="1">
                        <c:v>1.778</c:v>
                      </c:pt>
                      <c:pt idx="2">
                        <c:v>4.0960000000000001</c:v>
                      </c:pt>
                      <c:pt idx="3">
                        <c:v>9.9380000000000006</c:v>
                      </c:pt>
                      <c:pt idx="4">
                        <c:v>25.878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B790-405B-BAED-D47778959CED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Лист1!$V$1:$V$3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III</c:v>
                      </c:pt>
                      <c:pt idx="2">
                        <c:v>T2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Лист1!$V$4:$V$8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1.373</c:v>
                      </c:pt>
                      <c:pt idx="1">
                        <c:v>2.109</c:v>
                      </c:pt>
                      <c:pt idx="2">
                        <c:v>3.4820000000000002</c:v>
                      </c:pt>
                      <c:pt idx="3">
                        <c:v>4.516</c:v>
                      </c:pt>
                      <c:pt idx="4">
                        <c:v>7.556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B790-405B-BAED-D47778959CE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Лист1!$W$1:$W$3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III</c:v>
                      </c:pt>
                      <c:pt idx="2">
                        <c:v>S2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Лист1!$W$4:$W$8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1.254</c:v>
                      </c:pt>
                      <c:pt idx="1">
                        <c:v>1.577</c:v>
                      </c:pt>
                      <c:pt idx="2">
                        <c:v>1.917</c:v>
                      </c:pt>
                      <c:pt idx="3">
                        <c:v>2.14</c:v>
                      </c:pt>
                      <c:pt idx="4">
                        <c:v>2.5030000000000001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B790-405B-BAED-D47778959CED}"/>
                  </c:ext>
                </c:extLst>
              </c15:ser>
            </c15:filteredLineSeries>
          </c:ext>
        </c:extLst>
      </c:lineChart>
      <c:catAx>
        <c:axId val="341423248"/>
        <c:scaling>
          <c:orientation val="minMax"/>
        </c:scaling>
        <c:delete val="0"/>
        <c:axPos val="b"/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420336"/>
        <c:crosses val="autoZero"/>
        <c:auto val="1"/>
        <c:lblAlgn val="ctr"/>
        <c:lblOffset val="100"/>
        <c:noMultiLvlLbl val="0"/>
      </c:catAx>
      <c:valAx>
        <c:axId val="34142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42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Эксперимент</a:t>
            </a:r>
            <a:r>
              <a:rPr lang="ru-RU" baseline="0"/>
              <a:t> 3</a:t>
            </a:r>
          </a:p>
        </c:rich>
      </c:tx>
      <c:layout>
        <c:manualLayout>
          <c:xMode val="edge"/>
          <c:yMode val="edge"/>
          <c:x val="0.3122360017497812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6"/>
          <c:order val="6"/>
          <c:tx>
            <c:strRef>
              <c:f>Лист1!$P$1:$P$3</c:f>
              <c:strCache>
                <c:ptCount val="3"/>
                <c:pt idx="0">
                  <c:v>Первая фаза</c:v>
                </c:pt>
                <c:pt idx="1">
                  <c:v>III</c:v>
                </c:pt>
                <c:pt idx="2">
                  <c:v>T1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Лист1!$K$4:$K$8</c:f>
              <c:numCache>
                <c:formatCode>0.0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0.8</c:v>
                </c:pt>
                <c:pt idx="3">
                  <c:v>0.9</c:v>
                </c:pt>
                <c:pt idx="4" formatCode="0.00">
                  <c:v>0.99</c:v>
                </c:pt>
              </c:numCache>
              <c:extLst xmlns:c15="http://schemas.microsoft.com/office/drawing/2012/chart"/>
            </c:numRef>
          </c:cat>
          <c:val>
            <c:numRef>
              <c:f>Лист1!$P$4:$P$8</c:f>
              <c:numCache>
                <c:formatCode>General</c:formatCode>
                <c:ptCount val="5"/>
                <c:pt idx="0">
                  <c:v>1.2430000000000001</c:v>
                </c:pt>
                <c:pt idx="1">
                  <c:v>1.9750000000000001</c:v>
                </c:pt>
                <c:pt idx="2">
                  <c:v>4.9260000000000002</c:v>
                </c:pt>
                <c:pt idx="3">
                  <c:v>9.9749999999999996</c:v>
                </c:pt>
                <c:pt idx="4">
                  <c:v>65.332999999999998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7-EF24-403A-919A-3A9958BC5A05}"/>
            </c:ext>
          </c:extLst>
        </c:ser>
        <c:ser>
          <c:idx val="12"/>
          <c:order val="12"/>
          <c:tx>
            <c:strRef>
              <c:f>Лист1!$V$1:$V$3</c:f>
              <c:strCache>
                <c:ptCount val="3"/>
                <c:pt idx="0">
                  <c:v>Вторая фаза</c:v>
                </c:pt>
                <c:pt idx="1">
                  <c:v>III</c:v>
                </c:pt>
                <c:pt idx="2">
                  <c:v>T2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Лист1!$K$4:$K$8</c:f>
              <c:numCache>
                <c:formatCode>0.0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0.8</c:v>
                </c:pt>
                <c:pt idx="3">
                  <c:v>0.9</c:v>
                </c:pt>
                <c:pt idx="4" formatCode="0.00">
                  <c:v>0.99</c:v>
                </c:pt>
              </c:numCache>
              <c:extLst xmlns:c15="http://schemas.microsoft.com/office/drawing/2012/chart"/>
            </c:numRef>
          </c:cat>
          <c:val>
            <c:numRef>
              <c:f>Лист1!$V$4:$V$8</c:f>
              <c:numCache>
                <c:formatCode>General</c:formatCode>
                <c:ptCount val="5"/>
                <c:pt idx="0">
                  <c:v>1.373</c:v>
                </c:pt>
                <c:pt idx="1">
                  <c:v>2.109</c:v>
                </c:pt>
                <c:pt idx="2">
                  <c:v>3.4820000000000002</c:v>
                </c:pt>
                <c:pt idx="3">
                  <c:v>4.516</c:v>
                </c:pt>
                <c:pt idx="4">
                  <c:v>7.556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C-EF24-403A-919A-3A9958BC5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1423248"/>
        <c:axId val="3414203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Лист1!$J$1:$J$3</c15:sqref>
                        </c15:formulaRef>
                      </c:ext>
                    </c:extLst>
                    <c:strCache>
                      <c:ptCount val="3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Лист1!$J$4:$J$8</c15:sqref>
                        </c15:formulaRef>
                      </c:ext>
                    </c:extLst>
                    <c:numCache>
                      <c:formatCode>0</c:formatCode>
                      <c:ptCount val="5"/>
                      <c:pt idx="0" formatCode="General">
                        <c:v>1</c:v>
                      </c:pt>
                      <c:pt idx="1">
                        <c:v>2</c:v>
                      </c:pt>
                      <c:pt idx="2" formatCode="General">
                        <c:v>3</c:v>
                      </c:pt>
                      <c:pt idx="3">
                        <c:v>4</c:v>
                      </c:pt>
                      <c:pt idx="4" formatCode="General">
                        <c:v>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EF24-403A-919A-3A9958BC5A0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Лист1!$K$1:$K$3</c15:sqref>
                        </c15:formulaRef>
                      </c:ext>
                    </c:extLst>
                    <c:strCache>
                      <c:ptCount val="3"/>
                      <c:pt idx="0">
                        <c:v>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F24-403A-919A-3A9958BC5A0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Лист1!$L$1:$L$3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</c:v>
                      </c:pt>
                      <c:pt idx="2">
                        <c:v>T1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Лист1!$L$4:$L$8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1.254</c:v>
                      </c:pt>
                      <c:pt idx="1">
                        <c:v>2</c:v>
                      </c:pt>
                      <c:pt idx="2">
                        <c:v>5.218</c:v>
                      </c:pt>
                      <c:pt idx="3">
                        <c:v>9.4060000000000006</c:v>
                      </c:pt>
                      <c:pt idx="4">
                        <c:v>255.80199999999999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F24-403A-919A-3A9958BC5A0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Лист1!$M$1:$M$3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</c:v>
                      </c:pt>
                      <c:pt idx="2">
                        <c:v>S1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Лист1!$M$4:$M$8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1.2629999999999999</c:v>
                      </c:pt>
                      <c:pt idx="1">
                        <c:v>2.0019999999999998</c:v>
                      </c:pt>
                      <c:pt idx="2">
                        <c:v>5.359</c:v>
                      </c:pt>
                      <c:pt idx="3">
                        <c:v>8.67</c:v>
                      </c:pt>
                      <c:pt idx="4">
                        <c:v>145.71600000000001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F24-403A-919A-3A9958BC5A0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Лист1!$N$1:$N$3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II</c:v>
                      </c:pt>
                      <c:pt idx="2">
                        <c:v>T1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Лист1!$N$4:$N$8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1.125</c:v>
                      </c:pt>
                      <c:pt idx="1">
                        <c:v>1.5029999999999999</c:v>
                      </c:pt>
                      <c:pt idx="2">
                        <c:v>2.9</c:v>
                      </c:pt>
                      <c:pt idx="3">
                        <c:v>5.2789999999999999</c:v>
                      </c:pt>
                      <c:pt idx="4">
                        <c:v>52.411999999999999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F24-403A-919A-3A9958BC5A0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Лист1!$O$1:$O$3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II</c:v>
                      </c:pt>
                      <c:pt idx="2">
                        <c:v>S1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Лист1!$O$4:$O$8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0.315</c:v>
                      </c:pt>
                      <c:pt idx="1">
                        <c:v>0.78</c:v>
                      </c:pt>
                      <c:pt idx="2">
                        <c:v>2.177</c:v>
                      </c:pt>
                      <c:pt idx="3">
                        <c:v>4.3410000000000002</c:v>
                      </c:pt>
                      <c:pt idx="4">
                        <c:v>58.534999999999997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F24-403A-919A-3A9958BC5A0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Лист1!$Q$1:$Q$3</c15:sqref>
                        </c15:formulaRef>
                      </c:ext>
                    </c:extLst>
                    <c:strCache>
                      <c:ptCount val="3"/>
                      <c:pt idx="0">
                        <c:v>Первая фаза</c:v>
                      </c:pt>
                      <c:pt idx="1">
                        <c:v>III</c:v>
                      </c:pt>
                      <c:pt idx="2">
                        <c:v>S1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Лист1!$Q$4:$Q$8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1.2330000000000001</c:v>
                      </c:pt>
                      <c:pt idx="1">
                        <c:v>1.9490000000000001</c:v>
                      </c:pt>
                      <c:pt idx="2">
                        <c:v>4.9889999999999999</c:v>
                      </c:pt>
                      <c:pt idx="3">
                        <c:v>10.669</c:v>
                      </c:pt>
                      <c:pt idx="4">
                        <c:v>65.048000000000002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F24-403A-919A-3A9958BC5A05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Лист1!$R$1:$R$3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</c:v>
                      </c:pt>
                      <c:pt idx="2">
                        <c:v>T2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Лист1!$R$4:$R$8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1.2569999999999999</c:v>
                      </c:pt>
                      <c:pt idx="1">
                        <c:v>2.02</c:v>
                      </c:pt>
                      <c:pt idx="2">
                        <c:v>5.0350000000000001</c:v>
                      </c:pt>
                      <c:pt idx="3">
                        <c:v>9.8689999999999998</c:v>
                      </c:pt>
                      <c:pt idx="4">
                        <c:v>49.392000000000003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F24-403A-919A-3A9958BC5A05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Лист1!$S$1:$S$3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</c:v>
                      </c:pt>
                      <c:pt idx="2">
                        <c:v>S2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Лист1!$S$4:$S$8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1.2689999999999999</c:v>
                      </c:pt>
                      <c:pt idx="1">
                        <c:v>2.0329999999999999</c:v>
                      </c:pt>
                      <c:pt idx="2">
                        <c:v>5.0209999999999999</c:v>
                      </c:pt>
                      <c:pt idx="3">
                        <c:v>9.4429999999999996</c:v>
                      </c:pt>
                      <c:pt idx="4">
                        <c:v>32.643999999999998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F24-403A-919A-3A9958BC5A05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Лист1!$T$1:$T$3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II</c:v>
                      </c:pt>
                      <c:pt idx="2">
                        <c:v>T2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Лист1!$T$4:$T$8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1.181</c:v>
                      </c:pt>
                      <c:pt idx="1">
                        <c:v>1.7370000000000001</c:v>
                      </c:pt>
                      <c:pt idx="2">
                        <c:v>3.887</c:v>
                      </c:pt>
                      <c:pt idx="3">
                        <c:v>8.7560000000000002</c:v>
                      </c:pt>
                      <c:pt idx="4">
                        <c:v>36.018000000000001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F24-403A-919A-3A9958BC5A05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Лист1!$U$1:$U$3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II</c:v>
                      </c:pt>
                      <c:pt idx="2">
                        <c:v>S2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Лист1!$U$4:$U$8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1.171</c:v>
                      </c:pt>
                      <c:pt idx="1">
                        <c:v>1.778</c:v>
                      </c:pt>
                      <c:pt idx="2">
                        <c:v>4.0960000000000001</c:v>
                      </c:pt>
                      <c:pt idx="3">
                        <c:v>9.9380000000000006</c:v>
                      </c:pt>
                      <c:pt idx="4">
                        <c:v>25.878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F24-403A-919A-3A9958BC5A05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Лист1!$W$1:$W$3</c15:sqref>
                        </c15:formulaRef>
                      </c:ext>
                    </c:extLst>
                    <c:strCache>
                      <c:ptCount val="3"/>
                      <c:pt idx="0">
                        <c:v>Вторая фаза</c:v>
                      </c:pt>
                      <c:pt idx="1">
                        <c:v>III</c:v>
                      </c:pt>
                      <c:pt idx="2">
                        <c:v>S2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Лист1!$K$4:$K$8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0.2</c:v>
                      </c:pt>
                      <c:pt idx="1">
                        <c:v>0.5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 formatCode="0.00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Лист1!$W$4:$W$8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1.254</c:v>
                      </c:pt>
                      <c:pt idx="1">
                        <c:v>1.577</c:v>
                      </c:pt>
                      <c:pt idx="2">
                        <c:v>1.917</c:v>
                      </c:pt>
                      <c:pt idx="3">
                        <c:v>2.14</c:v>
                      </c:pt>
                      <c:pt idx="4">
                        <c:v>2.5030000000000001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F24-403A-919A-3A9958BC5A05}"/>
                  </c:ext>
                </c:extLst>
              </c15:ser>
            </c15:filteredLineSeries>
          </c:ext>
        </c:extLst>
      </c:lineChart>
      <c:catAx>
        <c:axId val="341423248"/>
        <c:scaling>
          <c:orientation val="minMax"/>
        </c:scaling>
        <c:delete val="0"/>
        <c:axPos val="b"/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420336"/>
        <c:crosses val="autoZero"/>
        <c:auto val="1"/>
        <c:lblAlgn val="ctr"/>
        <c:lblOffset val="100"/>
        <c:noMultiLvlLbl val="0"/>
      </c:catAx>
      <c:valAx>
        <c:axId val="34142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42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</xdr:colOff>
      <xdr:row>14</xdr:row>
      <xdr:rowOff>118110</xdr:rowOff>
    </xdr:from>
    <xdr:to>
      <xdr:col>7</xdr:col>
      <xdr:colOff>152400</xdr:colOff>
      <xdr:row>29</xdr:row>
      <xdr:rowOff>118110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EAB0B7D-A5BC-4DB1-973F-A611AB8A69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38100</xdr:colOff>
      <xdr:row>30</xdr:row>
      <xdr:rowOff>114300</xdr:rowOff>
    </xdr:from>
    <xdr:to>
      <xdr:col>7</xdr:col>
      <xdr:colOff>137160</xdr:colOff>
      <xdr:row>45</xdr:row>
      <xdr:rowOff>114300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65D4514-A55E-4CC5-B970-9D17522F3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518160</xdr:colOff>
      <xdr:row>9</xdr:row>
      <xdr:rowOff>41910</xdr:rowOff>
    </xdr:from>
    <xdr:to>
      <xdr:col>17</xdr:col>
      <xdr:colOff>68580</xdr:colOff>
      <xdr:row>24</xdr:row>
      <xdr:rowOff>41910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1191ACA-ACA6-4A94-ABD4-7B02936219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281940</xdr:colOff>
      <xdr:row>9</xdr:row>
      <xdr:rowOff>53340</xdr:rowOff>
    </xdr:from>
    <xdr:to>
      <xdr:col>26</xdr:col>
      <xdr:colOff>175260</xdr:colOff>
      <xdr:row>24</xdr:row>
      <xdr:rowOff>53340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47D1FFF4-A715-4804-AAD4-EED621084F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274320</xdr:colOff>
      <xdr:row>25</xdr:row>
      <xdr:rowOff>129540</xdr:rowOff>
    </xdr:from>
    <xdr:to>
      <xdr:col>21</xdr:col>
      <xdr:colOff>350520</xdr:colOff>
      <xdr:row>40</xdr:row>
      <xdr:rowOff>129540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6C4B712-9388-46CA-926F-CC96F8360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9"/>
  <sheetViews>
    <sheetView tabSelected="1" workbookViewId="0">
      <selection activeCell="A5" sqref="A5"/>
    </sheetView>
  </sheetViews>
  <sheetFormatPr defaultRowHeight="15" x14ac:dyDescent="0.25"/>
  <cols>
    <col min="4" max="4" width="9.28515625" customWidth="1"/>
    <col min="5" max="5" width="11.42578125" customWidth="1"/>
    <col min="12" max="12" width="8.85546875" customWidth="1"/>
    <col min="13" max="13" width="8.42578125" customWidth="1"/>
    <col min="14" max="15" width="7.28515625" customWidth="1"/>
    <col min="16" max="16" width="7.140625" customWidth="1"/>
    <col min="17" max="17" width="7.5703125" customWidth="1"/>
    <col min="18" max="18" width="7" customWidth="1"/>
    <col min="19" max="19" width="7.140625" customWidth="1"/>
    <col min="20" max="20" width="6.7109375" customWidth="1"/>
    <col min="21" max="21" width="7.140625" customWidth="1"/>
    <col min="22" max="22" width="7" customWidth="1"/>
    <col min="23" max="23" width="6.7109375" customWidth="1"/>
  </cols>
  <sheetData>
    <row r="1" spans="1:23" x14ac:dyDescent="0.25">
      <c r="A1" s="9" t="s">
        <v>0</v>
      </c>
      <c r="B1" s="9" t="s">
        <v>1</v>
      </c>
      <c r="C1" s="9" t="s">
        <v>7</v>
      </c>
      <c r="D1" s="9"/>
      <c r="E1" s="9"/>
      <c r="F1" s="9" t="s">
        <v>8</v>
      </c>
      <c r="G1" s="9"/>
      <c r="H1" s="9"/>
      <c r="J1" s="9" t="s">
        <v>0</v>
      </c>
      <c r="K1" s="10" t="s">
        <v>1</v>
      </c>
      <c r="L1" s="9" t="s">
        <v>10</v>
      </c>
      <c r="M1" s="9"/>
      <c r="N1" s="9"/>
      <c r="O1" s="9"/>
      <c r="P1" s="9"/>
      <c r="Q1" s="9"/>
      <c r="R1" s="9" t="s">
        <v>11</v>
      </c>
      <c r="S1" s="9"/>
      <c r="T1" s="9"/>
      <c r="U1" s="9"/>
      <c r="V1" s="9"/>
      <c r="W1" s="9"/>
    </row>
    <row r="2" spans="1:23" x14ac:dyDescent="0.25">
      <c r="A2" s="9"/>
      <c r="B2" s="9"/>
      <c r="C2" s="9" t="s">
        <v>2</v>
      </c>
      <c r="D2" s="9"/>
      <c r="E2" s="14" t="s">
        <v>6</v>
      </c>
      <c r="F2" s="9" t="s">
        <v>2</v>
      </c>
      <c r="G2" s="9"/>
      <c r="H2" s="14" t="s">
        <v>9</v>
      </c>
      <c r="J2" s="9"/>
      <c r="K2" s="11"/>
      <c r="L2" s="9" t="s">
        <v>12</v>
      </c>
      <c r="M2" s="9"/>
      <c r="N2" s="9" t="s">
        <v>13</v>
      </c>
      <c r="O2" s="9"/>
      <c r="P2" s="9" t="s">
        <v>14</v>
      </c>
      <c r="Q2" s="9"/>
      <c r="R2" s="9" t="s">
        <v>12</v>
      </c>
      <c r="S2" s="9"/>
      <c r="T2" s="9" t="s">
        <v>13</v>
      </c>
      <c r="U2" s="9"/>
      <c r="V2" s="9" t="s">
        <v>14</v>
      </c>
      <c r="W2" s="9"/>
    </row>
    <row r="3" spans="1:23" x14ac:dyDescent="0.25">
      <c r="A3" s="9"/>
      <c r="B3" s="9"/>
      <c r="C3" s="13" t="s">
        <v>4</v>
      </c>
      <c r="D3" s="14" t="s">
        <v>5</v>
      </c>
      <c r="E3" s="14"/>
      <c r="F3" s="14" t="s">
        <v>3</v>
      </c>
      <c r="G3" s="14" t="s">
        <v>5</v>
      </c>
      <c r="H3" s="14"/>
      <c r="J3" s="9"/>
      <c r="K3" s="12"/>
      <c r="L3" s="2" t="s">
        <v>16</v>
      </c>
      <c r="M3" s="2" t="s">
        <v>15</v>
      </c>
      <c r="N3" s="2" t="s">
        <v>16</v>
      </c>
      <c r="O3" s="2" t="s">
        <v>15</v>
      </c>
      <c r="P3" s="2" t="s">
        <v>16</v>
      </c>
      <c r="Q3" s="2" t="s">
        <v>15</v>
      </c>
      <c r="R3" s="2" t="s">
        <v>17</v>
      </c>
      <c r="S3" s="2" t="s">
        <v>18</v>
      </c>
      <c r="T3" s="2" t="s">
        <v>17</v>
      </c>
      <c r="U3" s="2" t="s">
        <v>18</v>
      </c>
      <c r="V3" s="2" t="s">
        <v>17</v>
      </c>
      <c r="W3" s="2" t="s">
        <v>18</v>
      </c>
    </row>
    <row r="4" spans="1:23" x14ac:dyDescent="0.25">
      <c r="A4" s="9"/>
      <c r="B4" s="9"/>
      <c r="C4" s="13"/>
      <c r="D4" s="14"/>
      <c r="E4" s="14"/>
      <c r="F4" s="14"/>
      <c r="G4" s="14"/>
      <c r="H4" s="14"/>
      <c r="J4" s="2">
        <v>1</v>
      </c>
      <c r="K4" s="5">
        <v>0.2</v>
      </c>
      <c r="L4" s="2">
        <v>1.254</v>
      </c>
      <c r="M4" s="2">
        <v>1.2629999999999999</v>
      </c>
      <c r="N4" s="2">
        <v>1.125</v>
      </c>
      <c r="O4" s="2">
        <v>0.315</v>
      </c>
      <c r="P4" s="2">
        <v>1.2430000000000001</v>
      </c>
      <c r="Q4" s="2">
        <v>1.2330000000000001</v>
      </c>
      <c r="R4" s="2">
        <v>1.2569999999999999</v>
      </c>
      <c r="S4" s="2">
        <v>1.2689999999999999</v>
      </c>
      <c r="T4" s="2">
        <v>1.181</v>
      </c>
      <c r="U4" s="2">
        <v>1.171</v>
      </c>
      <c r="V4" s="2">
        <v>1.373</v>
      </c>
      <c r="W4" s="2">
        <v>1.254</v>
      </c>
    </row>
    <row r="5" spans="1:23" x14ac:dyDescent="0.25">
      <c r="A5" s="1">
        <v>1</v>
      </c>
      <c r="B5" s="2">
        <v>0.1</v>
      </c>
      <c r="C5" s="4">
        <v>1.1080000000000001</v>
      </c>
      <c r="D5" s="4">
        <f>(B5/(1-B5))+1</f>
        <v>1.1111111111111112</v>
      </c>
      <c r="E5" s="4">
        <v>1.1000000000000001</v>
      </c>
      <c r="F5" s="4">
        <v>1.0549999999999999</v>
      </c>
      <c r="G5" s="4">
        <f>(B5/(2*(1-B5)))+1</f>
        <v>1.0555555555555556</v>
      </c>
      <c r="H5" s="4">
        <v>1.2</v>
      </c>
      <c r="J5" s="6">
        <v>2</v>
      </c>
      <c r="K5" s="7">
        <v>0.5</v>
      </c>
      <c r="L5" s="2">
        <v>2</v>
      </c>
      <c r="M5" s="2">
        <v>2.0019999999999998</v>
      </c>
      <c r="N5" s="2">
        <v>1.5029999999999999</v>
      </c>
      <c r="O5" s="2">
        <v>0.78</v>
      </c>
      <c r="P5" s="2">
        <v>1.9750000000000001</v>
      </c>
      <c r="Q5" s="2">
        <v>1.9490000000000001</v>
      </c>
      <c r="R5" s="2">
        <v>2.02</v>
      </c>
      <c r="S5" s="2">
        <v>2.0329999999999999</v>
      </c>
      <c r="T5" s="2">
        <v>1.7370000000000001</v>
      </c>
      <c r="U5" s="2">
        <v>1.778</v>
      </c>
      <c r="V5" s="2">
        <v>2.109</v>
      </c>
      <c r="W5" s="2">
        <v>1.577</v>
      </c>
    </row>
    <row r="6" spans="1:23" x14ac:dyDescent="0.25">
      <c r="A6" s="1">
        <v>2</v>
      </c>
      <c r="B6" s="2">
        <v>0.2</v>
      </c>
      <c r="C6" s="4">
        <v>1.147</v>
      </c>
      <c r="D6" s="4">
        <f t="shared" ref="D6:D14" si="0">(B6/(1-B6))+1</f>
        <v>1.25</v>
      </c>
      <c r="E6" s="4">
        <v>1.242</v>
      </c>
      <c r="F6" s="4">
        <v>1.1240000000000001</v>
      </c>
      <c r="G6" s="4">
        <f t="shared" ref="G6:G14" si="1">(B6/(2*(1-B6)))+1</f>
        <v>1.125</v>
      </c>
      <c r="H6" s="4">
        <v>0.312</v>
      </c>
      <c r="J6" s="2">
        <v>3</v>
      </c>
      <c r="K6" s="7">
        <v>0.8</v>
      </c>
      <c r="L6" s="2">
        <v>5.218</v>
      </c>
      <c r="M6" s="2">
        <v>5.359</v>
      </c>
      <c r="N6" s="2">
        <v>2.9</v>
      </c>
      <c r="O6" s="2">
        <v>2.177</v>
      </c>
      <c r="P6" s="2">
        <v>4.9260000000000002</v>
      </c>
      <c r="Q6" s="2">
        <v>4.9889999999999999</v>
      </c>
      <c r="R6" s="2">
        <v>5.0350000000000001</v>
      </c>
      <c r="S6" s="2">
        <v>5.0209999999999999</v>
      </c>
      <c r="T6" s="2">
        <v>3.887</v>
      </c>
      <c r="U6" s="2">
        <v>4.0960000000000001</v>
      </c>
      <c r="V6" s="2">
        <v>3.4820000000000002</v>
      </c>
      <c r="W6" s="2">
        <v>1.917</v>
      </c>
    </row>
    <row r="7" spans="1:23" x14ac:dyDescent="0.25">
      <c r="A7" s="1">
        <v>3</v>
      </c>
      <c r="B7" s="2">
        <v>0.3</v>
      </c>
      <c r="C7" s="4">
        <v>1.4179999999999999</v>
      </c>
      <c r="D7" s="4">
        <f t="shared" si="0"/>
        <v>1.4285714285714286</v>
      </c>
      <c r="E7" s="4">
        <v>1.415</v>
      </c>
      <c r="F7" s="4">
        <v>1.212</v>
      </c>
      <c r="G7" s="4">
        <f t="shared" si="1"/>
        <v>1.2142857142857144</v>
      </c>
      <c r="H7" s="4">
        <v>0.42899999999999999</v>
      </c>
      <c r="J7" s="6">
        <v>4</v>
      </c>
      <c r="K7" s="7">
        <v>0.9</v>
      </c>
      <c r="L7" s="2">
        <v>9.4060000000000006</v>
      </c>
      <c r="M7" s="2">
        <v>8.67</v>
      </c>
      <c r="N7" s="2">
        <v>5.2789999999999999</v>
      </c>
      <c r="O7" s="2">
        <v>4.3410000000000002</v>
      </c>
      <c r="P7" s="2">
        <v>9.9749999999999996</v>
      </c>
      <c r="Q7" s="2">
        <v>10.669</v>
      </c>
      <c r="R7" s="2">
        <v>9.8689999999999998</v>
      </c>
      <c r="S7" s="2">
        <v>9.4429999999999996</v>
      </c>
      <c r="T7" s="2">
        <v>8.7560000000000002</v>
      </c>
      <c r="U7" s="2">
        <v>9.9380000000000006</v>
      </c>
      <c r="V7" s="2">
        <v>4.516</v>
      </c>
      <c r="W7" s="2">
        <v>2.14</v>
      </c>
    </row>
    <row r="8" spans="1:23" x14ac:dyDescent="0.25">
      <c r="A8" s="1">
        <v>4</v>
      </c>
      <c r="B8" s="2">
        <v>0.4</v>
      </c>
      <c r="C8" s="4">
        <v>1.665</v>
      </c>
      <c r="D8" s="4">
        <f t="shared" si="0"/>
        <v>1.6666666666666667</v>
      </c>
      <c r="E8" s="4">
        <v>1.6419999999999999</v>
      </c>
      <c r="F8" s="4">
        <v>1.331</v>
      </c>
      <c r="G8" s="4">
        <f t="shared" si="1"/>
        <v>1.3333333333333335</v>
      </c>
      <c r="H8" s="4">
        <v>0.56999999999999995</v>
      </c>
      <c r="J8" s="2">
        <v>5</v>
      </c>
      <c r="K8" s="8">
        <v>0.99</v>
      </c>
      <c r="L8" s="2">
        <v>255.80199999999999</v>
      </c>
      <c r="M8" s="2">
        <v>145.71600000000001</v>
      </c>
      <c r="N8" s="2">
        <v>52.411999999999999</v>
      </c>
      <c r="O8" s="2">
        <v>58.534999999999997</v>
      </c>
      <c r="P8" s="2">
        <v>65.332999999999998</v>
      </c>
      <c r="Q8" s="2">
        <v>65.048000000000002</v>
      </c>
      <c r="R8" s="2">
        <v>49.392000000000003</v>
      </c>
      <c r="S8" s="2">
        <v>32.643999999999998</v>
      </c>
      <c r="T8" s="2">
        <v>36.018000000000001</v>
      </c>
      <c r="U8" s="2">
        <v>25.878</v>
      </c>
      <c r="V8" s="2">
        <v>7.556</v>
      </c>
      <c r="W8" s="2">
        <v>2.5030000000000001</v>
      </c>
    </row>
    <row r="9" spans="1:23" x14ac:dyDescent="0.25">
      <c r="A9" s="1">
        <v>5</v>
      </c>
      <c r="B9" s="2">
        <v>0.5</v>
      </c>
      <c r="C9" s="4">
        <v>2.0299999999999998</v>
      </c>
      <c r="D9" s="4">
        <f t="shared" si="0"/>
        <v>2</v>
      </c>
      <c r="E9" s="4">
        <v>2.0369999999999999</v>
      </c>
      <c r="F9" s="4">
        <v>1.4930000000000001</v>
      </c>
      <c r="G9" s="4">
        <f t="shared" si="1"/>
        <v>1.5</v>
      </c>
      <c r="H9" s="4">
        <v>0.749</v>
      </c>
    </row>
    <row r="10" spans="1:23" x14ac:dyDescent="0.25">
      <c r="A10" s="1">
        <v>6</v>
      </c>
      <c r="B10" s="2">
        <v>0.6</v>
      </c>
      <c r="C10" s="4">
        <v>2.4409999999999998</v>
      </c>
      <c r="D10" s="4">
        <f t="shared" si="0"/>
        <v>2.5</v>
      </c>
      <c r="E10" s="4">
        <v>2.4620000000000002</v>
      </c>
      <c r="F10" s="4">
        <v>1.732</v>
      </c>
      <c r="G10" s="4">
        <f t="shared" si="1"/>
        <v>1.75</v>
      </c>
      <c r="H10" s="4">
        <v>0.99099999999999999</v>
      </c>
    </row>
    <row r="11" spans="1:23" x14ac:dyDescent="0.25">
      <c r="A11" s="1">
        <v>7</v>
      </c>
      <c r="B11" s="2">
        <v>0.7</v>
      </c>
      <c r="C11" s="4">
        <v>3.399</v>
      </c>
      <c r="D11" s="4">
        <f t="shared" si="0"/>
        <v>3.333333333333333</v>
      </c>
      <c r="E11" s="4">
        <v>3.3319999999999999</v>
      </c>
      <c r="F11" s="4">
        <v>2.129</v>
      </c>
      <c r="G11" s="4">
        <f t="shared" si="1"/>
        <v>2.1666666666666665</v>
      </c>
      <c r="H11" s="4">
        <v>1.3819999999999999</v>
      </c>
    </row>
    <row r="12" spans="1:23" x14ac:dyDescent="0.25">
      <c r="A12" s="1">
        <v>8</v>
      </c>
      <c r="B12" s="2">
        <v>0.8</v>
      </c>
      <c r="C12" s="4">
        <v>5.125</v>
      </c>
      <c r="D12" s="4">
        <f t="shared" si="0"/>
        <v>5.0000000000000009</v>
      </c>
      <c r="E12" s="4">
        <v>5.6459999999999999</v>
      </c>
      <c r="F12" s="4">
        <v>2.9820000000000002</v>
      </c>
      <c r="G12" s="4">
        <f t="shared" si="1"/>
        <v>3.0000000000000004</v>
      </c>
      <c r="H12" s="4">
        <v>2.266</v>
      </c>
    </row>
    <row r="13" spans="1:23" x14ac:dyDescent="0.25">
      <c r="A13" s="1">
        <v>9</v>
      </c>
      <c r="B13" s="2">
        <v>0.9</v>
      </c>
      <c r="C13" s="4">
        <v>8.8740000000000006</v>
      </c>
      <c r="D13" s="4">
        <f t="shared" si="0"/>
        <v>10.000000000000002</v>
      </c>
      <c r="E13" s="4">
        <v>8.5280000000000005</v>
      </c>
      <c r="F13" s="4">
        <v>5.4370000000000003</v>
      </c>
      <c r="G13" s="4">
        <f t="shared" si="1"/>
        <v>5.5000000000000009</v>
      </c>
      <c r="H13" s="4">
        <v>4.7830000000000004</v>
      </c>
    </row>
    <row r="14" spans="1:23" x14ac:dyDescent="0.25">
      <c r="A14" s="1">
        <v>10</v>
      </c>
      <c r="B14" s="2">
        <v>0.99</v>
      </c>
      <c r="C14" s="4">
        <v>66.727999999999994</v>
      </c>
      <c r="D14" s="4">
        <f t="shared" si="0"/>
        <v>99.999999999999915</v>
      </c>
      <c r="E14" s="4">
        <v>67.209000000000003</v>
      </c>
      <c r="F14" s="4">
        <v>27.202000000000002</v>
      </c>
      <c r="G14" s="4">
        <f t="shared" si="1"/>
        <v>50.499999999999957</v>
      </c>
      <c r="H14" s="4">
        <v>20.518999999999998</v>
      </c>
    </row>
    <row r="17" spans="1:2" x14ac:dyDescent="0.25">
      <c r="A17" s="3"/>
      <c r="B17" s="3"/>
    </row>
    <row r="18" spans="1:2" x14ac:dyDescent="0.25">
      <c r="A18" s="3"/>
      <c r="B18" s="3"/>
    </row>
    <row r="19" spans="1:2" x14ac:dyDescent="0.25">
      <c r="A19" s="3"/>
      <c r="B19" s="3"/>
    </row>
  </sheetData>
  <mergeCells count="22">
    <mergeCell ref="R1:W1"/>
    <mergeCell ref="L2:M2"/>
    <mergeCell ref="N2:O2"/>
    <mergeCell ref="P2:Q2"/>
    <mergeCell ref="R2:S2"/>
    <mergeCell ref="T2:U2"/>
    <mergeCell ref="V2:W2"/>
    <mergeCell ref="J1:J3"/>
    <mergeCell ref="K1:K3"/>
    <mergeCell ref="L1:Q1"/>
    <mergeCell ref="A1:A4"/>
    <mergeCell ref="B1:B4"/>
    <mergeCell ref="C2:D2"/>
    <mergeCell ref="C3:C4"/>
    <mergeCell ref="D3:D4"/>
    <mergeCell ref="E2:E4"/>
    <mergeCell ref="C1:E1"/>
    <mergeCell ref="F1:H1"/>
    <mergeCell ref="F2:G2"/>
    <mergeCell ref="F3:F4"/>
    <mergeCell ref="G3:G4"/>
    <mergeCell ref="H2:H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Varezhka</dc:creator>
  <cp:lastModifiedBy>Dmitry</cp:lastModifiedBy>
  <dcterms:created xsi:type="dcterms:W3CDTF">2015-06-05T18:19:34Z</dcterms:created>
  <dcterms:modified xsi:type="dcterms:W3CDTF">2025-10-31T02:28:40Z</dcterms:modified>
</cp:coreProperties>
</file>