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G:\study\works\ММСС\kurs\"/>
    </mc:Choice>
  </mc:AlternateContent>
  <xr:revisionPtr revIDLastSave="0" documentId="13_ncr:1_{38367ECA-A70A-4AE6-8D49-D7A774666CE9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лист1" sheetId="1" r:id="rId1"/>
    <sheet name="Лист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V79" i="2" l="1"/>
  <c r="FK36" i="1"/>
  <c r="EA79" i="2"/>
  <c r="DE79" i="2" l="1"/>
  <c r="DS36" i="1"/>
  <c r="BD36" i="1"/>
  <c r="AQ80" i="2"/>
  <c r="AK10" i="1"/>
  <c r="AI6" i="1"/>
  <c r="T85" i="2"/>
  <c r="ES15" i="1"/>
  <c r="FH16" i="1"/>
  <c r="EZ20" i="1"/>
  <c r="EU23" i="1"/>
  <c r="EY23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FI11" i="1" s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FA13" i="1" s="1"/>
  <c r="EF13" i="1"/>
  <c r="FB13" i="1" s="1"/>
  <c r="EG13" i="1"/>
  <c r="FC13" i="1" s="1"/>
  <c r="EH13" i="1"/>
  <c r="FD13" i="1" s="1"/>
  <c r="EI13" i="1"/>
  <c r="FE13" i="1" s="1"/>
  <c r="EJ13" i="1"/>
  <c r="FF13" i="1" s="1"/>
  <c r="EK13" i="1"/>
  <c r="FG13" i="1" s="1"/>
  <c r="EL13" i="1"/>
  <c r="FH13" i="1" s="1"/>
  <c r="EM13" i="1"/>
  <c r="FI13" i="1" s="1"/>
  <c r="EN13" i="1"/>
  <c r="FJ13" i="1" s="1"/>
  <c r="EO13" i="1"/>
  <c r="FK13" i="1" s="1"/>
  <c r="DV14" i="1"/>
  <c r="ER14" i="1" s="1"/>
  <c r="DW14" i="1"/>
  <c r="ES14" i="1" s="1"/>
  <c r="DX14" i="1"/>
  <c r="ET14" i="1" s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ET15" i="1" s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FE16" i="1" s="1"/>
  <c r="EJ16" i="1"/>
  <c r="FF16" i="1" s="1"/>
  <c r="EK16" i="1"/>
  <c r="FG16" i="1" s="1"/>
  <c r="EL16" i="1"/>
  <c r="EM16" i="1"/>
  <c r="FI16" i="1" s="1"/>
  <c r="EN16" i="1"/>
  <c r="FJ16" i="1" s="1"/>
  <c r="EO16" i="1"/>
  <c r="FK16" i="1" s="1"/>
  <c r="DV17" i="1"/>
  <c r="ER17" i="1" s="1"/>
  <c r="DW17" i="1"/>
  <c r="ES17" i="1" s="1"/>
  <c r="DX17" i="1"/>
  <c r="ET17" i="1" s="1"/>
  <c r="DY17" i="1"/>
  <c r="EU17" i="1" s="1"/>
  <c r="DZ17" i="1"/>
  <c r="EV17" i="1" s="1"/>
  <c r="EA17" i="1"/>
  <c r="EW17" i="1" s="1"/>
  <c r="EB17" i="1"/>
  <c r="EX17" i="1" s="1"/>
  <c r="EC17" i="1"/>
  <c r="EY17" i="1" s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W18" i="1" s="1"/>
  <c r="EB18" i="1"/>
  <c r="EX18" i="1" s="1"/>
  <c r="EC18" i="1"/>
  <c r="EY18" i="1" s="1"/>
  <c r="ED18" i="1"/>
  <c r="EZ18" i="1" s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FI19" i="1" s="1"/>
  <c r="EN19" i="1"/>
  <c r="FJ19" i="1" s="1"/>
  <c r="EO19" i="1"/>
  <c r="FK19" i="1" s="1"/>
  <c r="DV20" i="1"/>
  <c r="ER20" i="1" s="1"/>
  <c r="DW20" i="1"/>
  <c r="ES20" i="1" s="1"/>
  <c r="DX20" i="1"/>
  <c r="ET20" i="1" s="1"/>
  <c r="DY20" i="1"/>
  <c r="EU20" i="1" s="1"/>
  <c r="DZ20" i="1"/>
  <c r="EV20" i="1" s="1"/>
  <c r="EA20" i="1"/>
  <c r="EW20" i="1" s="1"/>
  <c r="EB20" i="1"/>
  <c r="EX20" i="1" s="1"/>
  <c r="EC20" i="1"/>
  <c r="EY20" i="1" s="1"/>
  <c r="ED20" i="1"/>
  <c r="EE20" i="1"/>
  <c r="FA20" i="1" s="1"/>
  <c r="EF20" i="1"/>
  <c r="FB20" i="1" s="1"/>
  <c r="EG20" i="1"/>
  <c r="FC20" i="1" s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FA21" i="1" s="1"/>
  <c r="EF21" i="1"/>
  <c r="FB21" i="1" s="1"/>
  <c r="EG21" i="1"/>
  <c r="FC21" i="1" s="1"/>
  <c r="EH21" i="1"/>
  <c r="FD21" i="1" s="1"/>
  <c r="EI21" i="1"/>
  <c r="FE21" i="1" s="1"/>
  <c r="EJ21" i="1"/>
  <c r="FF21" i="1" s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ES23" i="1" s="1"/>
  <c r="DX23" i="1"/>
  <c r="ET23" i="1" s="1"/>
  <c r="DY23" i="1"/>
  <c r="DZ23" i="1"/>
  <c r="EV23" i="1" s="1"/>
  <c r="EA23" i="1"/>
  <c r="EW23" i="1" s="1"/>
  <c r="EB23" i="1"/>
  <c r="EX23" i="1" s="1"/>
  <c r="EC23" i="1"/>
  <c r="ED23" i="1"/>
  <c r="EZ23" i="1" s="1"/>
  <c r="EE23" i="1"/>
  <c r="FA23" i="1" s="1"/>
  <c r="EF23" i="1"/>
  <c r="FB23" i="1" s="1"/>
  <c r="EG23" i="1"/>
  <c r="FC23" i="1" s="1"/>
  <c r="EH23" i="1"/>
  <c r="FD23" i="1" s="1"/>
  <c r="EI23" i="1"/>
  <c r="FE23" i="1" s="1"/>
  <c r="EJ23" i="1"/>
  <c r="FF23" i="1" s="1"/>
  <c r="EK23" i="1"/>
  <c r="FG23" i="1" s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FE24" i="1" s="1"/>
  <c r="EJ24" i="1"/>
  <c r="FF24" i="1" s="1"/>
  <c r="EK24" i="1"/>
  <c r="FG24" i="1" s="1"/>
  <c r="EL24" i="1"/>
  <c r="FH24" i="1" s="1"/>
  <c r="EM24" i="1"/>
  <c r="FI24" i="1" s="1"/>
  <c r="EN24" i="1"/>
  <c r="FJ24" i="1" s="1"/>
  <c r="EO24" i="1"/>
  <c r="FK24" i="1" s="1"/>
  <c r="DV25" i="1"/>
  <c r="ER25" i="1" s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W26" i="1" s="1"/>
  <c r="EB26" i="1"/>
  <c r="EX26" i="1" s="1"/>
  <c r="EC26" i="1"/>
  <c r="EY26" i="1" s="1"/>
  <c r="ED26" i="1"/>
  <c r="EZ26" i="1" s="1"/>
  <c r="EE26" i="1"/>
  <c r="FA26" i="1" s="1"/>
  <c r="EF26" i="1"/>
  <c r="FB26" i="1" s="1"/>
  <c r="EG26" i="1"/>
  <c r="FC26" i="1" s="1"/>
  <c r="EH26" i="1"/>
  <c r="FD26" i="1" s="1"/>
  <c r="EI26" i="1"/>
  <c r="FE26" i="1" s="1"/>
  <c r="EJ26" i="1"/>
  <c r="FF26" i="1" s="1"/>
  <c r="EK26" i="1"/>
  <c r="FG26" i="1" s="1"/>
  <c r="EL26" i="1"/>
  <c r="FH26" i="1" s="1"/>
  <c r="EM26" i="1"/>
  <c r="FI26" i="1" s="1"/>
  <c r="EN26" i="1"/>
  <c r="FJ26" i="1" s="1"/>
  <c r="EO26" i="1"/>
  <c r="FK26" i="1" s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FI27" i="1" s="1"/>
  <c r="EN27" i="1"/>
  <c r="FJ27" i="1" s="1"/>
  <c r="EO27" i="1"/>
  <c r="FK27" i="1" s="1"/>
  <c r="DV28" i="1"/>
  <c r="ER28" i="1" s="1"/>
  <c r="DW28" i="1"/>
  <c r="ES28" i="1" s="1"/>
  <c r="DX28" i="1"/>
  <c r="ET28" i="1" s="1"/>
  <c r="DY28" i="1"/>
  <c r="EU28" i="1" s="1"/>
  <c r="DZ28" i="1"/>
  <c r="EV28" i="1" s="1"/>
  <c r="EA28" i="1"/>
  <c r="EW28" i="1" s="1"/>
  <c r="EB28" i="1"/>
  <c r="EX28" i="1" s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EO36" i="1" l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29" i="1" l="1"/>
  <c r="D29" i="1" l="1"/>
</calcChain>
</file>

<file path=xl/sharedStrings.xml><?xml version="1.0" encoding="utf-8"?>
<sst xmlns="http://schemas.openxmlformats.org/spreadsheetml/2006/main" count="147" uniqueCount="126">
  <si>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</si>
  <si>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</si>
  <si>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</si>
  <si>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</si>
  <si>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</si>
  <si>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</si>
  <si>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</si>
  <si>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</si>
  <si>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</si>
  <si>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</si>
  <si>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</si>
  <si>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</si>
  <si>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</si>
  <si>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</si>
  <si>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</si>
  <si>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</si>
  <si>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</si>
  <si>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</si>
  <si>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</si>
  <si>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</si>
  <si>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</si>
  <si>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</si>
  <si>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</si>
  <si>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</si>
  <si>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</si>
  <si>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</si>
  <si>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</si>
  <si>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</si>
  <si>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</si>
  <si>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</si>
  <si>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</si>
  <si>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</si>
  <si>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</si>
  <si>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</si>
  <si>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</si>
  <si>
    <t>37.161</t>
  </si>
  <si>
    <t>607.738</t>
  </si>
  <si>
    <t>49.433</t>
  </si>
  <si>
    <t>142.252</t>
  </si>
  <si>
    <t>403.222</t>
  </si>
  <si>
    <t>199.454</t>
  </si>
  <si>
    <t>18.449</t>
  </si>
  <si>
    <t>12.547</t>
  </si>
  <si>
    <t>66.892</t>
  </si>
  <si>
    <t>218.180</t>
  </si>
  <si>
    <t>10.165</t>
  </si>
  <si>
    <t>915.356</t>
  </si>
  <si>
    <t>186.750</t>
  </si>
  <si>
    <t>1045.514</t>
  </si>
  <si>
    <t>589.015</t>
  </si>
  <si>
    <t>749.345</t>
  </si>
  <si>
    <t>739.695</t>
  </si>
  <si>
    <t>77.347</t>
  </si>
  <si>
    <t>175.661</t>
  </si>
  <si>
    <t>232.011</t>
  </si>
  <si>
    <t>42.112</t>
  </si>
  <si>
    <t>152.995</t>
  </si>
  <si>
    <t>8.004</t>
  </si>
  <si>
    <t>23.616</t>
  </si>
  <si>
    <t>20.522</t>
  </si>
  <si>
    <t>66.358</t>
  </si>
  <si>
    <t>22.753</t>
  </si>
  <si>
    <t>5.049</t>
  </si>
  <si>
    <t>79.204</t>
  </si>
  <si>
    <t>495.320</t>
  </si>
  <si>
    <t>189.058</t>
  </si>
  <si>
    <t>117.083</t>
  </si>
  <si>
    <t>579.772</t>
  </si>
  <si>
    <t>42.134</t>
  </si>
  <si>
    <t>352.888</t>
  </si>
  <si>
    <t>136.685</t>
  </si>
  <si>
    <t>379.134</t>
  </si>
  <si>
    <t>348.599</t>
  </si>
  <si>
    <t>69.179</t>
  </si>
  <si>
    <t>1794.544</t>
  </si>
  <si>
    <t>90.190</t>
  </si>
  <si>
    <t>523.102</t>
  </si>
  <si>
    <t>1154.112</t>
  </si>
  <si>
    <t>13.059</t>
  </si>
  <si>
    <t>298.411</t>
  </si>
  <si>
    <t>1351.842</t>
  </si>
  <si>
    <t>262.791</t>
  </si>
  <si>
    <t>323.290</t>
  </si>
  <si>
    <t>1743.875</t>
  </si>
  <si>
    <t>727.330</t>
  </si>
  <si>
    <t>305.802</t>
  </si>
  <si>
    <t>4.427</t>
  </si>
  <si>
    <t>994.528</t>
  </si>
  <si>
    <t>171.876</t>
  </si>
  <si>
    <t>58.365</t>
  </si>
  <si>
    <t>459.587</t>
  </si>
  <si>
    <t>68.911</t>
  </si>
  <si>
    <t>452.510</t>
  </si>
  <si>
    <t>622.615</t>
  </si>
  <si>
    <t>2049.689</t>
  </si>
  <si>
    <t>529.799</t>
  </si>
  <si>
    <t>1.405</t>
  </si>
  <si>
    <t>40.958</t>
  </si>
  <si>
    <t>269.222</t>
  </si>
  <si>
    <t>45.144</t>
  </si>
  <si>
    <t>71.015</t>
  </si>
  <si>
    <t>405.522</t>
  </si>
  <si>
    <t>51.001</t>
  </si>
  <si>
    <t>411.244</t>
  </si>
  <si>
    <t>52.620</t>
  </si>
  <si>
    <t>32.602</t>
  </si>
  <si>
    <t>123.946</t>
  </si>
  <si>
    <t>6.885</t>
  </si>
  <si>
    <t>20.632</t>
  </si>
  <si>
    <t>694.979</t>
  </si>
  <si>
    <t>64.678</t>
  </si>
  <si>
    <t>68.388</t>
  </si>
  <si>
    <t>25.493</t>
  </si>
  <si>
    <t>123.739</t>
  </si>
  <si>
    <t>3.185</t>
  </si>
  <si>
    <t>412.063</t>
  </si>
  <si>
    <t>55.828</t>
  </si>
  <si>
    <t>526.645</t>
  </si>
  <si>
    <t>7.812</t>
  </si>
  <si>
    <t>655.534</t>
  </si>
  <si>
    <t>93.811</t>
  </si>
  <si>
    <t>61.822</t>
  </si>
  <si>
    <t>267.597</t>
  </si>
  <si>
    <t>439.167</t>
  </si>
  <si>
    <t>575.432</t>
  </si>
  <si>
    <t>3.446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</si>
</sst>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6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2" fontId="0" fillId="0" borderId="0" xfId="0" applyNumberFormat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0" borderId="0" xfId="0" applyFont="1"/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opLeftCell="EK2" zoomScale="95" zoomScaleNormal="100" workbookViewId="0">
      <selection activeCell="FB41" sqref="FB41"/>
    </sheetView>
  </sheetViews>
  <sheetFormatPr defaultRowHeight="15"/>
  <cols>
    <col min="2" max="2" width="11.42578125" customWidth="1"/>
    <col min="3" max="3" width="6.7109375" customWidth="1"/>
    <col min="4" max="4" width="7.28515625" customWidth="1"/>
    <col min="5" max="5" width="10.140625" customWidth="1"/>
    <col min="6" max="6" width="9.7109375" customWidth="1"/>
    <col min="7" max="7" width="5.140625" customWidth="1"/>
    <col min="8" max="8" width="7.28515625" customWidth="1"/>
    <col min="9" max="10" width="5.140625" customWidth="1"/>
    <col min="11" max="11" width="5.7109375" customWidth="1"/>
    <col min="12" max="26" width="5.140625" customWidth="1"/>
    <col min="27" max="27" width="5.5703125" customWidth="1"/>
    <col min="29" max="29" width="7.28515625" hidden="1" customWidth="1"/>
    <col min="30" max="31" width="0" hidden="1" customWidth="1"/>
    <col min="35" max="35" width="7.85546875" customWidth="1"/>
    <col min="36" max="56" width="8.85546875" customWidth="1"/>
    <col min="58" max="58" width="13.42578125" customWidth="1"/>
    <col min="59" max="59" width="3.7109375" customWidth="1"/>
    <col min="60" max="60" width="4.85546875" customWidth="1"/>
    <col min="61" max="61" width="4.28515625" customWidth="1"/>
    <col min="62" max="62" width="3.85546875" customWidth="1"/>
    <col min="63" max="63" width="4.28515625" customWidth="1"/>
    <col min="64" max="64" width="4.42578125" customWidth="1"/>
    <col min="65" max="65" width="4.28515625" customWidth="1"/>
    <col min="66" max="66" width="5" customWidth="1"/>
    <col min="67" max="67" width="4.140625" customWidth="1"/>
    <col min="68" max="68" width="4.7109375" customWidth="1"/>
    <col min="69" max="69" width="4.5703125" customWidth="1"/>
    <col min="70" max="70" width="4.28515625" customWidth="1"/>
    <col min="71" max="71" width="4.7109375" customWidth="1"/>
    <col min="72" max="72" width="4.28515625" customWidth="1"/>
    <col min="73" max="73" width="4" customWidth="1"/>
    <col min="74" max="74" width="4.140625" customWidth="1"/>
    <col min="75" max="76" width="4.28515625" customWidth="1"/>
    <col min="77" max="77" width="4.7109375" customWidth="1"/>
    <col min="78" max="78" width="7.7109375" customWidth="1"/>
    <col min="79" max="79" width="7.85546875" customWidth="1"/>
    <col min="81" max="83" width="7.5703125" customWidth="1"/>
    <col min="84" max="84" width="8.7109375" customWidth="1"/>
    <col min="85" max="87" width="7.5703125" customWidth="1"/>
    <col min="88" max="88" width="8.28515625" customWidth="1"/>
    <col min="89" max="89" width="8.85546875" customWidth="1"/>
    <col min="90" max="90" width="8.7109375" customWidth="1"/>
    <col min="91" max="91" width="8.28515625" customWidth="1"/>
    <col min="92" max="92" width="7.5703125" customWidth="1"/>
    <col min="93" max="93" width="9.140625" customWidth="1"/>
    <col min="94" max="101" width="7.5703125" customWidth="1"/>
    <col min="102" max="102" width="4.42578125" customWidth="1"/>
    <col min="103" max="122" width="6.28515625" customWidth="1"/>
    <col min="123" max="123" width="7" customWidth="1"/>
    <col min="126" max="126" width="10.5703125" customWidth="1"/>
    <col min="127" max="127" width="10.7109375" customWidth="1"/>
    <col min="128" max="128" width="10.42578125" customWidth="1"/>
    <col min="129" max="129" width="10.5703125" customWidth="1"/>
    <col min="130" max="130" width="10" customWidth="1"/>
    <col min="131" max="131" width="10.28515625" customWidth="1"/>
    <col min="132" max="132" width="10.140625" customWidth="1"/>
    <col min="133" max="133" width="10" customWidth="1"/>
    <col min="134" max="134" width="10.7109375" customWidth="1"/>
    <col min="135" max="135" width="10" customWidth="1"/>
    <col min="136" max="136" width="11" customWidth="1"/>
    <col min="137" max="137" width="10.42578125" customWidth="1"/>
    <col min="138" max="138" width="11.140625" customWidth="1"/>
    <col min="139" max="139" width="10.7109375" customWidth="1"/>
    <col min="140" max="141" width="10.28515625" customWidth="1"/>
    <col min="142" max="142" width="10.5703125" customWidth="1"/>
    <col min="143" max="143" width="10.7109375" customWidth="1"/>
    <col min="144" max="144" width="10.28515625" customWidth="1"/>
    <col min="145" max="145" width="10.5703125" customWidth="1"/>
    <col min="147" max="167" width="10.140625" customWidth="1"/>
  </cols>
  <sheetData>
    <row r="1" spans="1:167">
      <c r="A1" s="1" t="s">
        <v>12</v>
      </c>
    </row>
    <row r="2" spans="1:167" ht="15.75" thickBot="1"/>
    <row r="3" spans="1:167" ht="15.75" thickBot="1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7" t="s">
        <v>27</v>
      </c>
      <c r="AG3" s="57"/>
    </row>
    <row r="4" spans="1:167" ht="21.75" thickBot="1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7"/>
      <c r="AG4" s="57"/>
      <c r="AN4" s="55" t="s">
        <v>26</v>
      </c>
      <c r="AO4" s="56"/>
      <c r="AP4" s="56"/>
      <c r="AQ4" s="56"/>
      <c r="AR4" s="56"/>
      <c r="AS4" s="56"/>
      <c r="AT4" s="56"/>
      <c r="AU4" s="56"/>
      <c r="AV4" s="56"/>
      <c r="AW4" s="56"/>
    </row>
    <row r="5" spans="1:167" ht="15.75" thickBot="1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7"/>
      <c r="AG5" s="57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.75" thickBot="1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.75" thickBot="1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8" t="s">
        <v>28</v>
      </c>
      <c r="AQ8" s="52"/>
      <c r="AR8" s="52"/>
      <c r="AS8" s="52"/>
      <c r="AT8" s="52"/>
      <c r="AU8" s="52"/>
      <c r="AV8" s="52"/>
      <c r="AW8" s="52"/>
      <c r="AX8" s="52"/>
      <c r="AY8" s="53"/>
      <c r="BL8" s="51" t="s">
        <v>29</v>
      </c>
      <c r="BM8" s="52"/>
      <c r="BN8" s="52"/>
      <c r="BO8" s="52"/>
      <c r="BP8" s="52"/>
      <c r="BQ8" s="52"/>
      <c r="BR8" s="52"/>
      <c r="BS8" s="52"/>
      <c r="BT8" s="52"/>
      <c r="BU8" s="52"/>
      <c r="BV8" s="53"/>
      <c r="CI8" s="59" t="s">
        <v>30</v>
      </c>
      <c r="CJ8" s="59"/>
      <c r="CK8" s="59"/>
      <c r="CL8" s="59"/>
      <c r="CM8" s="59"/>
      <c r="CN8" s="59"/>
      <c r="CO8" s="59"/>
      <c r="CP8" s="59"/>
      <c r="CQ8" s="59"/>
      <c r="CR8" s="59"/>
      <c r="DD8" s="54" t="s">
        <v>31</v>
      </c>
      <c r="DE8" s="52"/>
      <c r="DF8" s="52"/>
      <c r="DG8" s="52"/>
      <c r="DH8" s="52"/>
      <c r="DI8" s="52"/>
      <c r="DJ8" s="52"/>
      <c r="DK8" s="52"/>
      <c r="DL8" s="52"/>
      <c r="DM8" s="52"/>
      <c r="DN8" s="53"/>
      <c r="DZ8" s="51" t="s">
        <v>32</v>
      </c>
      <c r="EA8" s="52"/>
      <c r="EB8" s="52"/>
      <c r="EC8" s="52"/>
      <c r="ED8" s="52"/>
      <c r="EE8" s="52"/>
      <c r="EF8" s="52"/>
      <c r="EG8" s="52"/>
      <c r="EH8" s="52"/>
      <c r="EI8" s="52"/>
      <c r="EJ8" s="53"/>
      <c r="EV8" s="54" t="s">
        <v>33</v>
      </c>
      <c r="EW8" s="52"/>
      <c r="EX8" s="52"/>
      <c r="EY8" s="52"/>
      <c r="EZ8" s="52"/>
      <c r="FA8" s="52"/>
      <c r="FB8" s="52"/>
      <c r="FC8" s="52"/>
      <c r="FD8" s="52"/>
      <c r="FE8" s="52"/>
      <c r="FF8" s="53"/>
      <c r="FI8" t="s">
        <v>34</v>
      </c>
    </row>
    <row r="9" spans="1:167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 s="50">
        <v>37.1614434039816</v>
      </c>
      <c r="CE10" s="50">
        <v>0</v>
      </c>
      <c r="CF10" s="50">
        <v>0</v>
      </c>
      <c r="CG10" s="50">
        <v>0</v>
      </c>
      <c r="CH10" s="50">
        <v>0</v>
      </c>
      <c r="CI10" s="50">
        <v>0</v>
      </c>
      <c r="CJ10" s="50">
        <v>0</v>
      </c>
      <c r="CK10" s="50">
        <v>607.73855659601895</v>
      </c>
      <c r="CL10" s="50">
        <v>0</v>
      </c>
      <c r="CM10" s="50">
        <v>0</v>
      </c>
      <c r="CN10" s="50">
        <v>0</v>
      </c>
      <c r="CO10" s="50">
        <v>0</v>
      </c>
      <c r="CP10" s="50">
        <v>0</v>
      </c>
      <c r="CQ10" s="50">
        <v>0</v>
      </c>
      <c r="CR10" s="50">
        <v>0</v>
      </c>
      <c r="CS10" s="50">
        <v>0</v>
      </c>
      <c r="CT10" s="50">
        <v>0</v>
      </c>
      <c r="CU10" s="50">
        <v>0</v>
      </c>
      <c r="CV10" s="50">
        <v>0</v>
      </c>
      <c r="CW10" s="50">
        <v>0</v>
      </c>
      <c r="CY10" s="49">
        <v>1</v>
      </c>
      <c r="CZ10">
        <v>47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4023200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4039200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12</v>
      </c>
      <c r="BP11">
        <v>12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 s="50">
        <v>0</v>
      </c>
      <c r="CE11" s="50">
        <v>49.433364308945997</v>
      </c>
      <c r="CF11" s="50">
        <v>0</v>
      </c>
      <c r="CG11" s="50">
        <v>0</v>
      </c>
      <c r="CH11" s="50">
        <v>0</v>
      </c>
      <c r="CI11" s="50">
        <v>0</v>
      </c>
      <c r="CJ11" s="50">
        <v>0</v>
      </c>
      <c r="CK11" s="50">
        <v>0</v>
      </c>
      <c r="CL11" s="50">
        <v>0</v>
      </c>
      <c r="CM11" s="50">
        <v>0</v>
      </c>
      <c r="CN11" s="50">
        <v>58.365663533364298</v>
      </c>
      <c r="CO11" s="50">
        <v>487.10938024947302</v>
      </c>
      <c r="CP11" s="50">
        <v>0</v>
      </c>
      <c r="CQ11" s="50">
        <v>51.0018335179956</v>
      </c>
      <c r="CR11" s="50">
        <v>18.449451374245001</v>
      </c>
      <c r="CS11" s="50">
        <v>0</v>
      </c>
      <c r="CT11" s="50">
        <v>12.547753672397199</v>
      </c>
      <c r="CU11" s="50">
        <v>66.892553343579095</v>
      </c>
      <c r="CV11" s="50">
        <v>0</v>
      </c>
      <c r="CW11" s="50">
        <v>0</v>
      </c>
      <c r="CY11" s="49">
        <v>2</v>
      </c>
      <c r="CZ11" s="60">
        <v>0</v>
      </c>
      <c r="DA11" s="60">
        <v>60</v>
      </c>
      <c r="DB11" s="60">
        <v>0</v>
      </c>
      <c r="DC11" s="60">
        <v>0</v>
      </c>
      <c r="DD11" s="60">
        <v>0</v>
      </c>
      <c r="DE11" s="60">
        <v>0</v>
      </c>
      <c r="DF11" s="60">
        <v>0</v>
      </c>
      <c r="DG11" s="60">
        <v>0</v>
      </c>
      <c r="DH11" s="60">
        <v>0</v>
      </c>
      <c r="DI11" s="60">
        <v>0</v>
      </c>
      <c r="DJ11" s="60">
        <v>70</v>
      </c>
      <c r="DK11" s="60">
        <v>501</v>
      </c>
      <c r="DL11" s="60">
        <v>0</v>
      </c>
      <c r="DM11" s="60">
        <v>62</v>
      </c>
      <c r="DN11" s="60">
        <v>27</v>
      </c>
      <c r="DO11" s="60">
        <v>0</v>
      </c>
      <c r="DP11" s="60">
        <v>20</v>
      </c>
      <c r="DQ11" s="60">
        <v>79</v>
      </c>
      <c r="DR11" s="60">
        <v>0</v>
      </c>
      <c r="DS11" s="60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5136000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5992000</v>
      </c>
      <c r="EG11" s="2">
        <f t="shared" ref="EG11:EG29" si="37">DK11*$E$4</f>
        <v>42885600</v>
      </c>
      <c r="EH11" s="2">
        <f t="shared" ref="EH11:EH29" si="38">DL11*$E$4</f>
        <v>0</v>
      </c>
      <c r="EI11" s="2">
        <f t="shared" ref="EI11:EI29" si="39">DM11*$E$4</f>
        <v>5307200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5152000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6008000</v>
      </c>
      <c r="FC11" s="2">
        <f t="shared" ref="FC11:FC29" si="57">IF(EG11,(EG11+8*$E$3/$E$5),0)</f>
        <v>42901600</v>
      </c>
      <c r="FD11" s="2">
        <f t="shared" ref="FD11:FD29" si="58">IF(EH11,(EH11+8*$E$3/$E$5),0)</f>
        <v>0</v>
      </c>
      <c r="FE11" s="2">
        <f t="shared" ref="FE11:FE29" si="59">IF(EI11,(EI11+8*$E$3/$E$5),0)</f>
        <v>5323200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10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 s="50">
        <v>0</v>
      </c>
      <c r="CE12" s="50">
        <v>0</v>
      </c>
      <c r="CF12" s="50">
        <v>10.1657752242754</v>
      </c>
      <c r="CG12" s="50">
        <v>915.35686765073797</v>
      </c>
      <c r="CH12" s="50">
        <v>186.75094088423501</v>
      </c>
      <c r="CI12" s="50">
        <v>0</v>
      </c>
      <c r="CJ12" s="50">
        <v>0</v>
      </c>
      <c r="CK12" s="50">
        <v>0</v>
      </c>
      <c r="CL12" s="50">
        <v>0</v>
      </c>
      <c r="CM12" s="50">
        <v>1680.9623172736699</v>
      </c>
      <c r="CN12" s="50">
        <v>0</v>
      </c>
      <c r="CO12" s="50">
        <v>0</v>
      </c>
      <c r="CP12" s="50">
        <v>0</v>
      </c>
      <c r="CQ12" s="50">
        <v>0</v>
      </c>
      <c r="CR12" s="50">
        <v>0</v>
      </c>
      <c r="CS12" s="50">
        <v>0</v>
      </c>
      <c r="CT12" s="50">
        <v>0</v>
      </c>
      <c r="CU12" s="50">
        <v>589.01571803852903</v>
      </c>
      <c r="CV12" s="50">
        <v>749.34539833446502</v>
      </c>
      <c r="CW12" s="50">
        <v>0</v>
      </c>
      <c r="CY12" s="49">
        <v>3</v>
      </c>
      <c r="CZ12" s="60">
        <v>0</v>
      </c>
      <c r="DA12" s="60">
        <v>0</v>
      </c>
      <c r="DB12" s="60">
        <v>17</v>
      </c>
      <c r="DC12" s="60">
        <v>925</v>
      </c>
      <c r="DD12" s="60">
        <v>201</v>
      </c>
      <c r="DE12" s="60">
        <v>0</v>
      </c>
      <c r="DF12" s="60">
        <v>0</v>
      </c>
      <c r="DG12" s="60">
        <v>0</v>
      </c>
      <c r="DH12" s="60">
        <v>0</v>
      </c>
      <c r="DI12" s="60">
        <v>1679</v>
      </c>
      <c r="DJ12" s="60">
        <v>0</v>
      </c>
      <c r="DK12" s="60">
        <v>0</v>
      </c>
      <c r="DL12" s="60">
        <v>0</v>
      </c>
      <c r="DM12" s="60">
        <v>0</v>
      </c>
      <c r="DN12" s="60">
        <v>0</v>
      </c>
      <c r="DO12" s="60">
        <v>0</v>
      </c>
      <c r="DP12" s="60">
        <v>0</v>
      </c>
      <c r="DQ12" s="60">
        <v>602</v>
      </c>
      <c r="DR12" s="60">
        <v>761</v>
      </c>
      <c r="DS12" s="60">
        <v>0</v>
      </c>
      <c r="DU12" s="49">
        <v>3</v>
      </c>
      <c r="DV12" s="2">
        <f t="shared" si="26"/>
        <v>0</v>
      </c>
      <c r="DW12" s="2">
        <f t="shared" si="27"/>
        <v>0</v>
      </c>
      <c r="DX12" s="2">
        <f t="shared" si="28"/>
        <v>1455200</v>
      </c>
      <c r="DY12" s="2">
        <f t="shared" si="29"/>
        <v>79180000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143722400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65141600</v>
      </c>
      <c r="EO12" s="2">
        <f t="shared" si="45"/>
        <v>0</v>
      </c>
      <c r="EQ12" s="49">
        <v>3</v>
      </c>
      <c r="ER12" s="2">
        <f t="shared" si="46"/>
        <v>0</v>
      </c>
      <c r="ES12" s="2">
        <f t="shared" si="47"/>
        <v>0</v>
      </c>
      <c r="ET12" s="2">
        <f t="shared" si="48"/>
        <v>1471200</v>
      </c>
      <c r="EU12" s="2">
        <f t="shared" si="49"/>
        <v>79196000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143738400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65157600</v>
      </c>
      <c r="FK12" s="2">
        <f t="shared" si="65"/>
        <v>0</v>
      </c>
    </row>
    <row r="13" spans="1:167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3</v>
      </c>
      <c r="BX13">
        <v>3</v>
      </c>
      <c r="BY13">
        <v>3</v>
      </c>
      <c r="BZ13">
        <v>3</v>
      </c>
      <c r="CA13">
        <v>3</v>
      </c>
      <c r="CC13" s="49">
        <v>4</v>
      </c>
      <c r="CD13" s="50">
        <v>0</v>
      </c>
      <c r="CE13" s="50">
        <v>0</v>
      </c>
      <c r="CF13" s="50">
        <v>915.35686765073797</v>
      </c>
      <c r="CG13" s="50">
        <v>77.347667893777498</v>
      </c>
      <c r="CH13" s="50">
        <v>0</v>
      </c>
      <c r="CI13" s="50">
        <v>0</v>
      </c>
      <c r="CJ13" s="50">
        <v>0</v>
      </c>
      <c r="CK13" s="50">
        <v>0</v>
      </c>
      <c r="CL13" s="50">
        <v>0</v>
      </c>
      <c r="CM13" s="50">
        <v>0</v>
      </c>
      <c r="CN13" s="50">
        <v>0</v>
      </c>
      <c r="CO13" s="50">
        <v>0</v>
      </c>
      <c r="CP13" s="50">
        <v>0</v>
      </c>
      <c r="CQ13" s="50">
        <v>232.01102970084699</v>
      </c>
      <c r="CR13" s="50">
        <v>42.112770292004697</v>
      </c>
      <c r="CS13" s="50">
        <v>0</v>
      </c>
      <c r="CT13" s="50">
        <v>0</v>
      </c>
      <c r="CU13" s="50">
        <v>0</v>
      </c>
      <c r="CV13" s="50">
        <v>0</v>
      </c>
      <c r="CW13" s="50">
        <v>0</v>
      </c>
      <c r="CY13" s="49">
        <v>4</v>
      </c>
      <c r="CZ13" s="60">
        <v>0</v>
      </c>
      <c r="DA13" s="60">
        <v>0</v>
      </c>
      <c r="DB13" s="60">
        <v>925</v>
      </c>
      <c r="DC13" s="60">
        <v>90</v>
      </c>
      <c r="DD13" s="60">
        <v>0</v>
      </c>
      <c r="DE13" s="60">
        <v>0</v>
      </c>
      <c r="DF13" s="60">
        <v>0</v>
      </c>
      <c r="DG13" s="60">
        <v>0</v>
      </c>
      <c r="DH13" s="60">
        <v>0</v>
      </c>
      <c r="DI13" s="60">
        <v>0</v>
      </c>
      <c r="DJ13" s="60">
        <v>0</v>
      </c>
      <c r="DK13" s="60">
        <v>0</v>
      </c>
      <c r="DL13" s="60">
        <v>0</v>
      </c>
      <c r="DM13" s="60">
        <v>247</v>
      </c>
      <c r="DN13" s="60">
        <v>52</v>
      </c>
      <c r="DO13" s="60">
        <v>0</v>
      </c>
      <c r="DP13" s="60">
        <v>0</v>
      </c>
      <c r="DQ13" s="60">
        <v>0</v>
      </c>
      <c r="DR13" s="60">
        <v>0</v>
      </c>
      <c r="DS13" s="60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79180000</v>
      </c>
      <c r="DY13" s="2">
        <f t="shared" si="29"/>
        <v>7704000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79196000</v>
      </c>
      <c r="EU13" s="2">
        <f t="shared" si="49"/>
        <v>7720000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 s="50">
        <v>0</v>
      </c>
      <c r="CE14" s="50">
        <v>0</v>
      </c>
      <c r="CF14" s="50">
        <v>186.75094088423501</v>
      </c>
      <c r="CG14" s="50">
        <v>0</v>
      </c>
      <c r="CH14" s="50">
        <v>8.0042612316380204</v>
      </c>
      <c r="CI14" s="50">
        <v>0</v>
      </c>
      <c r="CJ14" s="50">
        <v>23.6169832731692</v>
      </c>
      <c r="CK14" s="50">
        <v>0</v>
      </c>
      <c r="CL14" s="50">
        <v>0</v>
      </c>
      <c r="CM14" s="50">
        <v>0</v>
      </c>
      <c r="CN14" s="50">
        <v>0</v>
      </c>
      <c r="CO14" s="50">
        <v>0</v>
      </c>
      <c r="CP14" s="50">
        <v>0</v>
      </c>
      <c r="CQ14" s="50">
        <v>20.522786732906798</v>
      </c>
      <c r="CR14" s="50">
        <v>32.602722577647498</v>
      </c>
      <c r="CS14" s="50">
        <v>22.7531755959827</v>
      </c>
      <c r="CT14" s="50">
        <v>5.04912970442117</v>
      </c>
      <c r="CU14" s="50">
        <v>0</v>
      </c>
      <c r="CV14" s="50">
        <v>0</v>
      </c>
      <c r="CW14" s="50">
        <v>0</v>
      </c>
      <c r="CY14" s="49">
        <v>5</v>
      </c>
      <c r="CZ14" s="60">
        <v>0</v>
      </c>
      <c r="DA14" s="60">
        <v>0</v>
      </c>
      <c r="DB14" s="60">
        <v>201</v>
      </c>
      <c r="DC14" s="60">
        <v>0</v>
      </c>
      <c r="DD14" s="60">
        <v>14</v>
      </c>
      <c r="DE14" s="60">
        <v>0</v>
      </c>
      <c r="DF14" s="60">
        <v>32</v>
      </c>
      <c r="DG14" s="60">
        <v>0</v>
      </c>
      <c r="DH14" s="60">
        <v>0</v>
      </c>
      <c r="DI14" s="60">
        <v>0</v>
      </c>
      <c r="DJ14" s="60">
        <v>0</v>
      </c>
      <c r="DK14" s="60">
        <v>0</v>
      </c>
      <c r="DL14" s="60">
        <v>0</v>
      </c>
      <c r="DM14" s="60">
        <v>29</v>
      </c>
      <c r="DN14" s="60">
        <v>42</v>
      </c>
      <c r="DO14" s="60">
        <v>31</v>
      </c>
      <c r="DP14" s="60">
        <v>10</v>
      </c>
      <c r="DQ14" s="60">
        <v>0</v>
      </c>
      <c r="DR14" s="60">
        <v>0</v>
      </c>
      <c r="DS14" s="60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17205600</v>
      </c>
      <c r="DY14" s="2">
        <f t="shared" si="29"/>
        <v>0</v>
      </c>
      <c r="DZ14" s="2">
        <f t="shared" si="30"/>
        <v>1198400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3595200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17221600</v>
      </c>
      <c r="EU14" s="2">
        <f t="shared" si="49"/>
        <v>0</v>
      </c>
      <c r="EV14" s="2">
        <f t="shared" si="50"/>
        <v>1214400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3611200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10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10</v>
      </c>
      <c r="BP15">
        <v>10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10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 s="50">
        <v>0</v>
      </c>
      <c r="CE15" s="50">
        <v>0</v>
      </c>
      <c r="CF15" s="50">
        <v>0</v>
      </c>
      <c r="CG15" s="50">
        <v>0</v>
      </c>
      <c r="CH15" s="50">
        <v>0</v>
      </c>
      <c r="CI15" s="50">
        <v>79.204246935201397</v>
      </c>
      <c r="CJ15" s="50">
        <v>0</v>
      </c>
      <c r="CK15" s="50">
        <v>0</v>
      </c>
      <c r="CL15" s="50">
        <v>0</v>
      </c>
      <c r="CM15" s="50">
        <v>727.33061224489802</v>
      </c>
      <c r="CN15" s="50">
        <v>0</v>
      </c>
      <c r="CO15" s="50">
        <v>0</v>
      </c>
      <c r="CP15" s="50">
        <v>189.058249043926</v>
      </c>
      <c r="CQ15" s="50">
        <v>0</v>
      </c>
      <c r="CR15" s="50">
        <v>117.08374763215301</v>
      </c>
      <c r="CS15" s="50">
        <v>0</v>
      </c>
      <c r="CT15" s="50">
        <v>0</v>
      </c>
      <c r="CU15" s="50">
        <v>0</v>
      </c>
      <c r="CV15" s="50">
        <v>0</v>
      </c>
      <c r="CW15" s="50">
        <v>267.59741591908198</v>
      </c>
      <c r="CY15" s="49">
        <v>6</v>
      </c>
      <c r="CZ15" s="60">
        <v>0</v>
      </c>
      <c r="DA15" s="60">
        <v>0</v>
      </c>
      <c r="DB15" s="60">
        <v>0</v>
      </c>
      <c r="DC15" s="60">
        <v>0</v>
      </c>
      <c r="DD15" s="60">
        <v>0</v>
      </c>
      <c r="DE15" s="60">
        <v>91</v>
      </c>
      <c r="DF15" s="60">
        <v>0</v>
      </c>
      <c r="DG15" s="60">
        <v>0</v>
      </c>
      <c r="DH15" s="60">
        <v>0</v>
      </c>
      <c r="DI15" s="60">
        <v>739</v>
      </c>
      <c r="DJ15" s="60">
        <v>0</v>
      </c>
      <c r="DK15" s="60">
        <v>0</v>
      </c>
      <c r="DL15" s="60">
        <v>203</v>
      </c>
      <c r="DM15" s="60">
        <v>0</v>
      </c>
      <c r="DN15" s="60">
        <v>130</v>
      </c>
      <c r="DO15" s="60">
        <v>0</v>
      </c>
      <c r="DP15" s="60">
        <v>0</v>
      </c>
      <c r="DQ15" s="60">
        <v>0</v>
      </c>
      <c r="DR15" s="60">
        <v>0</v>
      </c>
      <c r="DS15" s="60">
        <v>282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7789600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63258400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24139200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7805600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63274400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24155200</v>
      </c>
    </row>
    <row r="16" spans="1:167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20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 s="50">
        <v>0</v>
      </c>
      <c r="CE16" s="50">
        <v>0</v>
      </c>
      <c r="CF16" s="50">
        <v>0</v>
      </c>
      <c r="CG16" s="50">
        <v>0</v>
      </c>
      <c r="CH16" s="50">
        <v>23.6169832731692</v>
      </c>
      <c r="CI16" s="50">
        <v>0</v>
      </c>
      <c r="CJ16" s="50">
        <v>42.134894921190899</v>
      </c>
      <c r="CK16" s="50">
        <v>0</v>
      </c>
      <c r="CL16" s="50">
        <v>0</v>
      </c>
      <c r="CM16" s="50">
        <v>305.80237052789602</v>
      </c>
      <c r="CN16" s="50">
        <v>0</v>
      </c>
      <c r="CO16" s="50">
        <v>0</v>
      </c>
      <c r="CP16" s="50">
        <v>0</v>
      </c>
      <c r="CQ16" s="50">
        <v>0</v>
      </c>
      <c r="CR16" s="50">
        <v>0</v>
      </c>
      <c r="CS16" s="50">
        <v>0</v>
      </c>
      <c r="CT16" s="50">
        <v>136.685828657207</v>
      </c>
      <c r="CU16" s="50">
        <v>0</v>
      </c>
      <c r="CV16" s="50">
        <v>0</v>
      </c>
      <c r="CW16" s="50">
        <v>439.16736034168503</v>
      </c>
      <c r="CY16" s="49">
        <v>7</v>
      </c>
      <c r="CZ16" s="60">
        <v>0</v>
      </c>
      <c r="DA16" s="60">
        <v>0</v>
      </c>
      <c r="DB16" s="60">
        <v>0</v>
      </c>
      <c r="DC16" s="60">
        <v>0</v>
      </c>
      <c r="DD16" s="60">
        <v>32</v>
      </c>
      <c r="DE16" s="60">
        <v>0</v>
      </c>
      <c r="DF16" s="60">
        <v>53</v>
      </c>
      <c r="DG16" s="60">
        <v>0</v>
      </c>
      <c r="DH16" s="60">
        <v>0</v>
      </c>
      <c r="DI16" s="60">
        <v>321</v>
      </c>
      <c r="DJ16" s="60">
        <v>0</v>
      </c>
      <c r="DK16" s="60">
        <v>0</v>
      </c>
      <c r="DL16" s="60">
        <v>0</v>
      </c>
      <c r="DM16" s="60">
        <v>0</v>
      </c>
      <c r="DN16" s="60">
        <v>0</v>
      </c>
      <c r="DO16" s="60">
        <v>0</v>
      </c>
      <c r="DP16" s="60">
        <v>150</v>
      </c>
      <c r="DQ16" s="60">
        <v>0</v>
      </c>
      <c r="DR16" s="60">
        <v>0</v>
      </c>
      <c r="DS16" s="60">
        <v>454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4536800</v>
      </c>
      <c r="EC16" s="2">
        <f t="shared" si="33"/>
        <v>0</v>
      </c>
      <c r="ED16" s="2">
        <f t="shared" si="34"/>
        <v>0</v>
      </c>
      <c r="EE16" s="2">
        <f t="shared" si="35"/>
        <v>27477600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38862400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4552800</v>
      </c>
      <c r="EY16" s="2">
        <f t="shared" si="53"/>
        <v>0</v>
      </c>
      <c r="EZ16" s="2">
        <f t="shared" si="54"/>
        <v>0</v>
      </c>
      <c r="FA16" s="2">
        <f t="shared" si="55"/>
        <v>27493600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38878400</v>
      </c>
    </row>
    <row r="17" spans="1:167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 s="50">
        <v>607.73855659601895</v>
      </c>
      <c r="CE17" s="50">
        <v>0</v>
      </c>
      <c r="CF17" s="50">
        <v>0</v>
      </c>
      <c r="CG17" s="50">
        <v>0</v>
      </c>
      <c r="CH17" s="50">
        <v>0</v>
      </c>
      <c r="CI17" s="50">
        <v>0</v>
      </c>
      <c r="CJ17" s="50">
        <v>0</v>
      </c>
      <c r="CK17" s="50">
        <v>69.179028021015796</v>
      </c>
      <c r="CL17" s="50">
        <v>1752.5388434182801</v>
      </c>
      <c r="CM17" s="50">
        <v>0</v>
      </c>
      <c r="CN17" s="50">
        <v>0</v>
      </c>
      <c r="CO17" s="50">
        <v>0</v>
      </c>
      <c r="CP17" s="50">
        <v>0</v>
      </c>
      <c r="CQ17" s="50">
        <v>0</v>
      </c>
      <c r="CR17" s="50">
        <v>90.190978948497104</v>
      </c>
      <c r="CS17" s="50">
        <v>694.97913792487202</v>
      </c>
      <c r="CT17" s="50">
        <v>0</v>
      </c>
      <c r="CU17" s="50">
        <v>0</v>
      </c>
      <c r="CV17" s="50">
        <v>0</v>
      </c>
      <c r="CW17" s="50">
        <v>0</v>
      </c>
      <c r="CY17" s="49">
        <v>8</v>
      </c>
      <c r="CZ17" s="60">
        <v>621</v>
      </c>
      <c r="DA17" s="60">
        <v>0</v>
      </c>
      <c r="DB17" s="60">
        <v>0</v>
      </c>
      <c r="DC17" s="60">
        <v>0</v>
      </c>
      <c r="DD17" s="60">
        <v>0</v>
      </c>
      <c r="DE17" s="60">
        <v>0</v>
      </c>
      <c r="DF17" s="60">
        <v>0</v>
      </c>
      <c r="DG17" s="60">
        <v>81</v>
      </c>
      <c r="DH17" s="60">
        <v>1750</v>
      </c>
      <c r="DI17" s="60">
        <v>0</v>
      </c>
      <c r="DJ17" s="60">
        <v>0</v>
      </c>
      <c r="DK17" s="60">
        <v>0</v>
      </c>
      <c r="DL17" s="60">
        <v>0</v>
      </c>
      <c r="DM17" s="60">
        <v>0</v>
      </c>
      <c r="DN17" s="60">
        <v>103</v>
      </c>
      <c r="DO17" s="60">
        <v>707</v>
      </c>
      <c r="DP17" s="60">
        <v>0</v>
      </c>
      <c r="DQ17" s="60">
        <v>0</v>
      </c>
      <c r="DR17" s="60">
        <v>0</v>
      </c>
      <c r="DS17" s="60">
        <v>0</v>
      </c>
      <c r="DU17" s="49">
        <v>8</v>
      </c>
      <c r="DV17" s="2">
        <f t="shared" si="26"/>
        <v>53157600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6933600</v>
      </c>
      <c r="ED17" s="2">
        <f t="shared" si="34"/>
        <v>149800000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60519200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53173600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6949600</v>
      </c>
      <c r="EZ17" s="2">
        <f t="shared" si="54"/>
        <v>149816000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60535200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 s="50">
        <v>0</v>
      </c>
      <c r="CE18" s="50">
        <v>0</v>
      </c>
      <c r="CF18" s="50">
        <v>0</v>
      </c>
      <c r="CG18" s="50">
        <v>0</v>
      </c>
      <c r="CH18" s="50">
        <v>0</v>
      </c>
      <c r="CI18" s="50">
        <v>0</v>
      </c>
      <c r="CJ18" s="50">
        <v>0</v>
      </c>
      <c r="CK18" s="50">
        <v>1752.5388434182801</v>
      </c>
      <c r="CL18" s="50">
        <v>13.0591952893241</v>
      </c>
      <c r="CM18" s="50">
        <v>0</v>
      </c>
      <c r="CN18" s="50">
        <v>298.411914292863</v>
      </c>
      <c r="CO18" s="50">
        <v>1351.8428249758699</v>
      </c>
      <c r="CP18" s="50">
        <v>0</v>
      </c>
      <c r="CQ18" s="50">
        <v>411.24428142535498</v>
      </c>
      <c r="CR18" s="50">
        <v>0</v>
      </c>
      <c r="CS18" s="50">
        <v>0</v>
      </c>
      <c r="CT18" s="50">
        <v>0</v>
      </c>
      <c r="CU18" s="50">
        <v>0</v>
      </c>
      <c r="CV18" s="50">
        <v>0</v>
      </c>
      <c r="CW18" s="50">
        <v>323.29050627256203</v>
      </c>
      <c r="CY18" s="49">
        <v>9</v>
      </c>
      <c r="CZ18" s="60">
        <v>0</v>
      </c>
      <c r="DA18" s="60">
        <v>0</v>
      </c>
      <c r="DB18" s="60">
        <v>0</v>
      </c>
      <c r="DC18" s="60">
        <v>0</v>
      </c>
      <c r="DD18" s="60">
        <v>0</v>
      </c>
      <c r="DE18" s="60">
        <v>0</v>
      </c>
      <c r="DF18" s="60">
        <v>0</v>
      </c>
      <c r="DG18" s="60">
        <v>1750</v>
      </c>
      <c r="DH18" s="60">
        <v>20</v>
      </c>
      <c r="DI18" s="60">
        <v>0</v>
      </c>
      <c r="DJ18" s="60">
        <v>313</v>
      </c>
      <c r="DK18" s="60">
        <v>1355</v>
      </c>
      <c r="DL18" s="60">
        <v>0</v>
      </c>
      <c r="DM18" s="60">
        <v>426</v>
      </c>
      <c r="DN18" s="60">
        <v>0</v>
      </c>
      <c r="DO18" s="60">
        <v>0</v>
      </c>
      <c r="DP18" s="60">
        <v>0</v>
      </c>
      <c r="DQ18" s="60">
        <v>0</v>
      </c>
      <c r="DR18" s="60">
        <v>0</v>
      </c>
      <c r="DS18" s="60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149800000</v>
      </c>
      <c r="ED18" s="2">
        <f t="shared" si="34"/>
        <v>1712000</v>
      </c>
      <c r="EE18" s="2">
        <f t="shared" si="35"/>
        <v>0</v>
      </c>
      <c r="EF18" s="2">
        <f t="shared" si="36"/>
        <v>26792800</v>
      </c>
      <c r="EG18" s="2">
        <f t="shared" si="37"/>
        <v>115988000</v>
      </c>
      <c r="EH18" s="2">
        <f t="shared" si="38"/>
        <v>0</v>
      </c>
      <c r="EI18" s="2">
        <f t="shared" si="39"/>
        <v>36465600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149816000</v>
      </c>
      <c r="EZ18" s="2">
        <f t="shared" si="54"/>
        <v>1728000</v>
      </c>
      <c r="FA18" s="2">
        <f t="shared" si="55"/>
        <v>0</v>
      </c>
      <c r="FB18" s="2">
        <f t="shared" si="56"/>
        <v>26808800</v>
      </c>
      <c r="FC18" s="2">
        <f t="shared" si="57"/>
        <v>116004000</v>
      </c>
      <c r="FD18" s="2">
        <f t="shared" si="58"/>
        <v>0</v>
      </c>
      <c r="FE18" s="2">
        <f t="shared" si="59"/>
        <v>36481600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12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12</v>
      </c>
      <c r="BX19">
        <v>7</v>
      </c>
      <c r="BY19">
        <v>3</v>
      </c>
      <c r="BZ19">
        <v>3</v>
      </c>
      <c r="CA19">
        <v>6</v>
      </c>
      <c r="CC19" s="49">
        <v>10</v>
      </c>
      <c r="CD19" s="50">
        <v>0</v>
      </c>
      <c r="CE19" s="50">
        <v>0</v>
      </c>
      <c r="CF19" s="50">
        <v>1680.9623172736699</v>
      </c>
      <c r="CG19" s="50">
        <v>0</v>
      </c>
      <c r="CH19" s="50">
        <v>0</v>
      </c>
      <c r="CI19" s="50">
        <v>727.33061224489802</v>
      </c>
      <c r="CJ19" s="50">
        <v>305.80237052789602</v>
      </c>
      <c r="CK19" s="50">
        <v>0</v>
      </c>
      <c r="CL19" s="50">
        <v>0</v>
      </c>
      <c r="CM19" s="50">
        <v>4.4274956217162904</v>
      </c>
      <c r="CN19" s="50">
        <v>0</v>
      </c>
      <c r="CO19" s="50">
        <v>1933.525147432</v>
      </c>
      <c r="CP19" s="50">
        <v>0</v>
      </c>
      <c r="CQ19" s="50">
        <v>0</v>
      </c>
      <c r="CR19" s="50">
        <v>0</v>
      </c>
      <c r="CS19" s="50">
        <v>0</v>
      </c>
      <c r="CT19" s="50">
        <v>0</v>
      </c>
      <c r="CU19" s="50">
        <v>0</v>
      </c>
      <c r="CV19" s="50">
        <v>0</v>
      </c>
      <c r="CW19" s="50">
        <v>0</v>
      </c>
      <c r="CY19" s="49">
        <v>10</v>
      </c>
      <c r="CZ19" s="60">
        <v>0</v>
      </c>
      <c r="DA19" s="60">
        <v>0</v>
      </c>
      <c r="DB19" s="60">
        <v>1679</v>
      </c>
      <c r="DC19" s="60">
        <v>0</v>
      </c>
      <c r="DD19" s="60">
        <v>0</v>
      </c>
      <c r="DE19" s="60">
        <v>739</v>
      </c>
      <c r="DF19" s="60">
        <v>321</v>
      </c>
      <c r="DG19" s="60">
        <v>0</v>
      </c>
      <c r="DH19" s="60">
        <v>0</v>
      </c>
      <c r="DI19" s="60">
        <v>10</v>
      </c>
      <c r="DJ19" s="60">
        <v>0</v>
      </c>
      <c r="DK19" s="60">
        <v>1928</v>
      </c>
      <c r="DL19" s="60">
        <v>0</v>
      </c>
      <c r="DM19" s="60">
        <v>0</v>
      </c>
      <c r="DN19" s="60">
        <v>0</v>
      </c>
      <c r="DO19" s="60">
        <v>0</v>
      </c>
      <c r="DP19" s="60">
        <v>0</v>
      </c>
      <c r="DQ19" s="60">
        <v>0</v>
      </c>
      <c r="DR19" s="60">
        <v>0</v>
      </c>
      <c r="DS19" s="60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143722400</v>
      </c>
      <c r="DY19" s="2">
        <f t="shared" si="29"/>
        <v>0</v>
      </c>
      <c r="DZ19" s="2">
        <f t="shared" si="30"/>
        <v>0</v>
      </c>
      <c r="EA19" s="2">
        <f t="shared" si="31"/>
        <v>63258400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856000</v>
      </c>
      <c r="EF19" s="2">
        <f t="shared" si="36"/>
        <v>0</v>
      </c>
      <c r="EG19" s="2">
        <f t="shared" si="37"/>
        <v>165036800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143738400</v>
      </c>
      <c r="EU19" s="2">
        <f t="shared" si="49"/>
        <v>0</v>
      </c>
      <c r="EV19" s="2">
        <f t="shared" si="50"/>
        <v>0</v>
      </c>
      <c r="EW19" s="2">
        <f t="shared" si="51"/>
        <v>63274400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872000</v>
      </c>
      <c r="FB19" s="2">
        <f t="shared" si="56"/>
        <v>0</v>
      </c>
      <c r="FC19" s="2">
        <f t="shared" si="57"/>
        <v>165052800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 s="50">
        <v>0</v>
      </c>
      <c r="CE20" s="50">
        <v>58.365663533364298</v>
      </c>
      <c r="CF20" s="50">
        <v>0</v>
      </c>
      <c r="CG20" s="50">
        <v>0</v>
      </c>
      <c r="CH20" s="50">
        <v>0</v>
      </c>
      <c r="CI20" s="50">
        <v>0</v>
      </c>
      <c r="CJ20" s="50">
        <v>0</v>
      </c>
      <c r="CK20" s="50">
        <v>0</v>
      </c>
      <c r="CL20" s="50">
        <v>298.411914292863</v>
      </c>
      <c r="CM20" s="50">
        <v>0</v>
      </c>
      <c r="CN20" s="50">
        <v>68.911973265663505</v>
      </c>
      <c r="CO20" s="50">
        <v>452.51044890810999</v>
      </c>
      <c r="CP20" s="50">
        <v>0</v>
      </c>
      <c r="CQ20" s="50">
        <v>0</v>
      </c>
      <c r="CR20" s="50">
        <v>0</v>
      </c>
      <c r="CS20" s="50">
        <v>0</v>
      </c>
      <c r="CT20" s="50">
        <v>0</v>
      </c>
      <c r="CU20" s="50">
        <v>0</v>
      </c>
      <c r="CV20" s="50">
        <v>0</v>
      </c>
      <c r="CW20" s="50">
        <v>0</v>
      </c>
      <c r="CY20" s="49">
        <v>11</v>
      </c>
      <c r="CZ20" s="60">
        <v>0</v>
      </c>
      <c r="DA20" s="60">
        <v>70</v>
      </c>
      <c r="DB20" s="60">
        <v>0</v>
      </c>
      <c r="DC20" s="60">
        <v>0</v>
      </c>
      <c r="DD20" s="60">
        <v>0</v>
      </c>
      <c r="DE20" s="60">
        <v>0</v>
      </c>
      <c r="DF20" s="60">
        <v>0</v>
      </c>
      <c r="DG20" s="60">
        <v>0</v>
      </c>
      <c r="DH20" s="60">
        <v>313</v>
      </c>
      <c r="DI20" s="60">
        <v>0</v>
      </c>
      <c r="DJ20" s="60">
        <v>81</v>
      </c>
      <c r="DK20" s="60">
        <v>467</v>
      </c>
      <c r="DL20" s="60">
        <v>0</v>
      </c>
      <c r="DM20" s="60">
        <v>0</v>
      </c>
      <c r="DN20" s="60">
        <v>0</v>
      </c>
      <c r="DO20" s="60">
        <v>0</v>
      </c>
      <c r="DP20" s="60">
        <v>0</v>
      </c>
      <c r="DQ20" s="60">
        <v>0</v>
      </c>
      <c r="DR20" s="60">
        <v>0</v>
      </c>
      <c r="DS20" s="6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26792800</v>
      </c>
      <c r="EE20" s="2">
        <f t="shared" si="35"/>
        <v>0</v>
      </c>
      <c r="EF20" s="2">
        <f t="shared" si="36"/>
        <v>6933600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26808800</v>
      </c>
      <c r="FA20" s="2">
        <f t="shared" si="55"/>
        <v>0</v>
      </c>
      <c r="FB20" s="2">
        <f t="shared" si="56"/>
        <v>6949600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9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9</v>
      </c>
      <c r="BP21">
        <v>9</v>
      </c>
      <c r="BQ21">
        <v>10</v>
      </c>
      <c r="BR21">
        <v>11</v>
      </c>
      <c r="BS21">
        <v>12</v>
      </c>
      <c r="BT21">
        <v>10</v>
      </c>
      <c r="BU21">
        <v>9</v>
      </c>
      <c r="BV21">
        <v>10</v>
      </c>
      <c r="BW21">
        <v>9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 s="50">
        <v>0</v>
      </c>
      <c r="CE21" s="50">
        <v>487.10938024947302</v>
      </c>
      <c r="CF21" s="50">
        <v>0</v>
      </c>
      <c r="CG21" s="50">
        <v>0</v>
      </c>
      <c r="CH21" s="50">
        <v>0</v>
      </c>
      <c r="CI21" s="50">
        <v>0</v>
      </c>
      <c r="CJ21" s="50">
        <v>0</v>
      </c>
      <c r="CK21" s="50">
        <v>0</v>
      </c>
      <c r="CL21" s="50">
        <v>1351.8428249758699</v>
      </c>
      <c r="CM21" s="50">
        <v>1933.525147432</v>
      </c>
      <c r="CN21" s="50">
        <v>452.51044890810999</v>
      </c>
      <c r="CO21" s="50">
        <v>1.40508595732514</v>
      </c>
      <c r="CP21" s="50">
        <v>0</v>
      </c>
      <c r="CQ21" s="50">
        <v>0</v>
      </c>
      <c r="CR21" s="50">
        <v>0</v>
      </c>
      <c r="CS21" s="50">
        <v>0</v>
      </c>
      <c r="CT21" s="50">
        <v>0</v>
      </c>
      <c r="CU21" s="50">
        <v>0</v>
      </c>
      <c r="CV21" s="50">
        <v>0</v>
      </c>
      <c r="CW21" s="50">
        <v>0</v>
      </c>
      <c r="CY21" s="49">
        <v>12</v>
      </c>
      <c r="CZ21" s="60">
        <v>0</v>
      </c>
      <c r="DA21" s="60">
        <v>501</v>
      </c>
      <c r="DB21" s="60">
        <v>0</v>
      </c>
      <c r="DC21" s="60">
        <v>0</v>
      </c>
      <c r="DD21" s="60">
        <v>0</v>
      </c>
      <c r="DE21" s="60">
        <v>0</v>
      </c>
      <c r="DF21" s="60">
        <v>0</v>
      </c>
      <c r="DG21" s="60">
        <v>0</v>
      </c>
      <c r="DH21" s="60">
        <v>1355</v>
      </c>
      <c r="DI21" s="60">
        <v>1928</v>
      </c>
      <c r="DJ21" s="60">
        <v>467</v>
      </c>
      <c r="DK21" s="60">
        <v>5</v>
      </c>
      <c r="DL21" s="60">
        <v>0</v>
      </c>
      <c r="DM21" s="60">
        <v>0</v>
      </c>
      <c r="DN21" s="60">
        <v>0</v>
      </c>
      <c r="DO21" s="60">
        <v>0</v>
      </c>
      <c r="DP21" s="60">
        <v>0</v>
      </c>
      <c r="DQ21" s="60">
        <v>0</v>
      </c>
      <c r="DR21" s="60">
        <v>0</v>
      </c>
      <c r="DS21" s="60">
        <v>0</v>
      </c>
      <c r="DU21" s="49">
        <v>12</v>
      </c>
      <c r="DV21" s="2">
        <f t="shared" si="26"/>
        <v>0</v>
      </c>
      <c r="DW21" s="2">
        <f t="shared" si="27"/>
        <v>42885600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115988000</v>
      </c>
      <c r="EE21" s="2">
        <f t="shared" si="35"/>
        <v>165036800</v>
      </c>
      <c r="EF21" s="2">
        <f t="shared" si="36"/>
        <v>39975200</v>
      </c>
      <c r="EG21" s="2">
        <f t="shared" si="37"/>
        <v>428000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42901600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116004000</v>
      </c>
      <c r="FA21" s="2">
        <f t="shared" si="55"/>
        <v>165052800</v>
      </c>
      <c r="FB21" s="2">
        <f t="shared" si="56"/>
        <v>39991200</v>
      </c>
      <c r="FC21" s="2">
        <f t="shared" si="57"/>
        <v>444000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 s="50">
        <v>0</v>
      </c>
      <c r="CE22" s="50">
        <v>0</v>
      </c>
      <c r="CF22" s="50">
        <v>0</v>
      </c>
      <c r="CG22" s="50">
        <v>0</v>
      </c>
      <c r="CH22" s="50">
        <v>0</v>
      </c>
      <c r="CI22" s="50">
        <v>189.058249043926</v>
      </c>
      <c r="CJ22" s="50">
        <v>0</v>
      </c>
      <c r="CK22" s="50">
        <v>0</v>
      </c>
      <c r="CL22" s="50">
        <v>0</v>
      </c>
      <c r="CM22" s="50">
        <v>0</v>
      </c>
      <c r="CN22" s="50">
        <v>0</v>
      </c>
      <c r="CO22" s="50">
        <v>0</v>
      </c>
      <c r="CP22" s="50">
        <v>45.144272490081903</v>
      </c>
      <c r="CQ22" s="50">
        <v>0</v>
      </c>
      <c r="CR22" s="50">
        <v>0</v>
      </c>
      <c r="CS22" s="50">
        <v>0</v>
      </c>
      <c r="CT22" s="50">
        <v>71.015390114014096</v>
      </c>
      <c r="CU22" s="50">
        <v>526.645868329819</v>
      </c>
      <c r="CV22" s="50">
        <v>0</v>
      </c>
      <c r="CW22" s="50">
        <v>0</v>
      </c>
      <c r="CY22" s="49">
        <v>13</v>
      </c>
      <c r="CZ22" s="60">
        <v>0</v>
      </c>
      <c r="DA22" s="60">
        <v>0</v>
      </c>
      <c r="DB22" s="60">
        <v>0</v>
      </c>
      <c r="DC22" s="60">
        <v>0</v>
      </c>
      <c r="DD22" s="60">
        <v>0</v>
      </c>
      <c r="DE22" s="60">
        <v>203</v>
      </c>
      <c r="DF22" s="60">
        <v>0</v>
      </c>
      <c r="DG22" s="60">
        <v>0</v>
      </c>
      <c r="DH22" s="60">
        <v>0</v>
      </c>
      <c r="DI22" s="60">
        <v>0</v>
      </c>
      <c r="DJ22" s="60">
        <v>0</v>
      </c>
      <c r="DK22" s="60">
        <v>0</v>
      </c>
      <c r="DL22" s="60">
        <v>56</v>
      </c>
      <c r="DM22" s="60">
        <v>0</v>
      </c>
      <c r="DN22" s="60">
        <v>0</v>
      </c>
      <c r="DO22" s="60">
        <v>0</v>
      </c>
      <c r="DP22" s="60">
        <v>83</v>
      </c>
      <c r="DQ22" s="60">
        <v>540</v>
      </c>
      <c r="DR22" s="60">
        <v>0</v>
      </c>
      <c r="DS22" s="60">
        <v>0</v>
      </c>
      <c r="DU22" s="49">
        <v>13</v>
      </c>
      <c r="DV22" s="2">
        <f t="shared" si="26"/>
        <v>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17376800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4793600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46224000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17392800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4809600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46240000</v>
      </c>
      <c r="FJ22" s="2">
        <f t="shared" si="64"/>
        <v>0</v>
      </c>
      <c r="FK22" s="2">
        <f t="shared" si="65"/>
        <v>0</v>
      </c>
    </row>
    <row r="23" spans="1:167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 s="50">
        <v>0</v>
      </c>
      <c r="CE23" s="50">
        <v>51.001833517995699</v>
      </c>
      <c r="CF23" s="50">
        <v>0</v>
      </c>
      <c r="CG23" s="50">
        <v>232.01102970084699</v>
      </c>
      <c r="CH23" s="50">
        <v>20.522786732906798</v>
      </c>
      <c r="CI23" s="50">
        <v>0</v>
      </c>
      <c r="CJ23" s="50">
        <v>0</v>
      </c>
      <c r="CK23" s="50">
        <v>0</v>
      </c>
      <c r="CL23" s="50">
        <v>411.24428142535498</v>
      </c>
      <c r="CM23" s="50">
        <v>0</v>
      </c>
      <c r="CN23" s="50">
        <v>0</v>
      </c>
      <c r="CO23" s="50">
        <v>0</v>
      </c>
      <c r="CP23" s="50">
        <v>0</v>
      </c>
      <c r="CQ23" s="50">
        <v>52.620068622895801</v>
      </c>
      <c r="CR23" s="50">
        <v>0</v>
      </c>
      <c r="CS23" s="50">
        <v>0</v>
      </c>
      <c r="CT23" s="50">
        <v>0</v>
      </c>
      <c r="CU23" s="50">
        <v>0</v>
      </c>
      <c r="CV23" s="50">
        <v>0</v>
      </c>
      <c r="CW23" s="50">
        <v>0</v>
      </c>
      <c r="CY23" s="49">
        <v>14</v>
      </c>
      <c r="CZ23" s="60">
        <v>0</v>
      </c>
      <c r="DA23" s="60">
        <v>62</v>
      </c>
      <c r="DB23" s="60">
        <v>0</v>
      </c>
      <c r="DC23" s="60">
        <v>247</v>
      </c>
      <c r="DD23" s="60">
        <v>29</v>
      </c>
      <c r="DE23" s="60">
        <v>0</v>
      </c>
      <c r="DF23" s="60">
        <v>0</v>
      </c>
      <c r="DG23" s="60">
        <v>0</v>
      </c>
      <c r="DH23" s="60">
        <v>426</v>
      </c>
      <c r="DI23" s="60">
        <v>0</v>
      </c>
      <c r="DJ23" s="60">
        <v>0</v>
      </c>
      <c r="DK23" s="60">
        <v>0</v>
      </c>
      <c r="DL23" s="60">
        <v>0</v>
      </c>
      <c r="DM23" s="60">
        <v>64</v>
      </c>
      <c r="DN23" s="60">
        <v>0</v>
      </c>
      <c r="DO23" s="60">
        <v>0</v>
      </c>
      <c r="DP23" s="60">
        <v>0</v>
      </c>
      <c r="DQ23" s="60">
        <v>0</v>
      </c>
      <c r="DR23" s="60">
        <v>0</v>
      </c>
      <c r="DS23" s="60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5478400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5494400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 s="50">
        <v>0</v>
      </c>
      <c r="CE24" s="50">
        <v>18.449451374245001</v>
      </c>
      <c r="CF24" s="50">
        <v>0</v>
      </c>
      <c r="CG24" s="50">
        <v>42.112770292004697</v>
      </c>
      <c r="CH24" s="50">
        <v>32.602722577647498</v>
      </c>
      <c r="CI24" s="50">
        <v>117.08374763215301</v>
      </c>
      <c r="CJ24" s="50">
        <v>0</v>
      </c>
      <c r="CK24" s="50">
        <v>90.190978948497104</v>
      </c>
      <c r="CL24" s="50">
        <v>0</v>
      </c>
      <c r="CM24" s="50">
        <v>0</v>
      </c>
      <c r="CN24" s="50">
        <v>0</v>
      </c>
      <c r="CO24" s="50">
        <v>0</v>
      </c>
      <c r="CP24" s="50">
        <v>0</v>
      </c>
      <c r="CQ24" s="50">
        <v>0</v>
      </c>
      <c r="CR24" s="50">
        <v>6.88567854462275</v>
      </c>
      <c r="CS24" s="50">
        <v>0</v>
      </c>
      <c r="CT24" s="50">
        <v>0</v>
      </c>
      <c r="CU24" s="50">
        <v>0</v>
      </c>
      <c r="CV24" s="50">
        <v>20.632231316344399</v>
      </c>
      <c r="CW24" s="50">
        <v>0</v>
      </c>
      <c r="CY24" s="49">
        <v>15</v>
      </c>
      <c r="CZ24" s="60">
        <v>0</v>
      </c>
      <c r="DA24" s="60">
        <v>27</v>
      </c>
      <c r="DB24" s="60">
        <v>0</v>
      </c>
      <c r="DC24" s="60">
        <v>52</v>
      </c>
      <c r="DD24" s="60">
        <v>42</v>
      </c>
      <c r="DE24" s="60">
        <v>130</v>
      </c>
      <c r="DF24" s="60">
        <v>0</v>
      </c>
      <c r="DG24" s="60">
        <v>103</v>
      </c>
      <c r="DH24" s="60">
        <v>0</v>
      </c>
      <c r="DI24" s="60">
        <v>0</v>
      </c>
      <c r="DJ24" s="60">
        <v>0</v>
      </c>
      <c r="DK24" s="60">
        <v>0</v>
      </c>
      <c r="DL24" s="60">
        <v>0</v>
      </c>
      <c r="DM24" s="60">
        <v>0</v>
      </c>
      <c r="DN24" s="60">
        <v>13</v>
      </c>
      <c r="DO24" s="60">
        <v>0</v>
      </c>
      <c r="DP24" s="60">
        <v>0</v>
      </c>
      <c r="DQ24" s="60">
        <v>0</v>
      </c>
      <c r="DR24" s="60">
        <v>29</v>
      </c>
      <c r="DS24" s="60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8816800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1112800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8832800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1128800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 s="50">
        <v>0</v>
      </c>
      <c r="CE25" s="50">
        <v>0</v>
      </c>
      <c r="CF25" s="50">
        <v>0</v>
      </c>
      <c r="CG25" s="50">
        <v>0</v>
      </c>
      <c r="CH25" s="50">
        <v>22.7531755959827</v>
      </c>
      <c r="CI25" s="50">
        <v>0</v>
      </c>
      <c r="CJ25" s="50">
        <v>0</v>
      </c>
      <c r="CK25" s="50">
        <v>694.97913792487202</v>
      </c>
      <c r="CL25" s="50">
        <v>0</v>
      </c>
      <c r="CM25" s="50">
        <v>0</v>
      </c>
      <c r="CN25" s="50">
        <v>0</v>
      </c>
      <c r="CO25" s="50">
        <v>0</v>
      </c>
      <c r="CP25" s="50">
        <v>0</v>
      </c>
      <c r="CQ25" s="50">
        <v>0</v>
      </c>
      <c r="CR25" s="50">
        <v>0</v>
      </c>
      <c r="CS25" s="50">
        <v>64.678923478323</v>
      </c>
      <c r="CT25" s="50">
        <v>68.388763000822095</v>
      </c>
      <c r="CU25" s="50">
        <v>0</v>
      </c>
      <c r="CV25" s="50">
        <v>0</v>
      </c>
      <c r="CW25" s="50">
        <v>0</v>
      </c>
      <c r="CY25" s="49">
        <v>16</v>
      </c>
      <c r="CZ25" s="60">
        <v>0</v>
      </c>
      <c r="DA25" s="60">
        <v>0</v>
      </c>
      <c r="DB25" s="60">
        <v>0</v>
      </c>
      <c r="DC25" s="60">
        <v>0</v>
      </c>
      <c r="DD25" s="60">
        <v>31</v>
      </c>
      <c r="DE25" s="60">
        <v>0</v>
      </c>
      <c r="DF25" s="60">
        <v>0</v>
      </c>
      <c r="DG25" s="60">
        <v>707</v>
      </c>
      <c r="DH25" s="60">
        <v>0</v>
      </c>
      <c r="DI25" s="60">
        <v>0</v>
      </c>
      <c r="DJ25" s="60">
        <v>0</v>
      </c>
      <c r="DK25" s="60">
        <v>0</v>
      </c>
      <c r="DL25" s="60">
        <v>0</v>
      </c>
      <c r="DM25" s="60">
        <v>0</v>
      </c>
      <c r="DN25" s="60">
        <v>0</v>
      </c>
      <c r="DO25" s="60">
        <v>76</v>
      </c>
      <c r="DP25" s="60">
        <v>80</v>
      </c>
      <c r="DQ25" s="60">
        <v>0</v>
      </c>
      <c r="DR25" s="60">
        <v>0</v>
      </c>
      <c r="DS25" s="60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6505600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6521600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7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 s="50">
        <v>0</v>
      </c>
      <c r="CE26" s="50">
        <v>12.547753672397199</v>
      </c>
      <c r="CF26" s="50">
        <v>0</v>
      </c>
      <c r="CG26" s="50">
        <v>0</v>
      </c>
      <c r="CH26" s="50">
        <v>5.04912970442117</v>
      </c>
      <c r="CI26" s="50">
        <v>0</v>
      </c>
      <c r="CJ26" s="50">
        <v>136.685828657207</v>
      </c>
      <c r="CK26" s="50">
        <v>0</v>
      </c>
      <c r="CL26" s="50">
        <v>0</v>
      </c>
      <c r="CM26" s="50">
        <v>0</v>
      </c>
      <c r="CN26" s="50">
        <v>0</v>
      </c>
      <c r="CO26" s="50">
        <v>0</v>
      </c>
      <c r="CP26" s="50">
        <v>71.015390114014096</v>
      </c>
      <c r="CQ26" s="50">
        <v>0</v>
      </c>
      <c r="CR26" s="50">
        <v>0</v>
      </c>
      <c r="CS26" s="50">
        <v>68.388763000822095</v>
      </c>
      <c r="CT26" s="50">
        <v>3.1850173344293902</v>
      </c>
      <c r="CU26" s="50">
        <v>0</v>
      </c>
      <c r="CV26" s="50">
        <v>0</v>
      </c>
      <c r="CW26" s="50">
        <v>0</v>
      </c>
      <c r="CY26" s="49">
        <v>17</v>
      </c>
      <c r="CZ26" s="60">
        <v>0</v>
      </c>
      <c r="DA26" s="60">
        <v>20</v>
      </c>
      <c r="DB26" s="60">
        <v>0</v>
      </c>
      <c r="DC26" s="60">
        <v>0</v>
      </c>
      <c r="DD26" s="60">
        <v>10</v>
      </c>
      <c r="DE26" s="60">
        <v>0</v>
      </c>
      <c r="DF26" s="60">
        <v>150</v>
      </c>
      <c r="DG26" s="60">
        <v>0</v>
      </c>
      <c r="DH26" s="60">
        <v>0</v>
      </c>
      <c r="DI26" s="60">
        <v>0</v>
      </c>
      <c r="DJ26" s="60">
        <v>0</v>
      </c>
      <c r="DK26" s="60">
        <v>0</v>
      </c>
      <c r="DL26" s="60">
        <v>83</v>
      </c>
      <c r="DM26" s="60">
        <v>0</v>
      </c>
      <c r="DN26" s="60">
        <v>0</v>
      </c>
      <c r="DO26" s="60">
        <v>80</v>
      </c>
      <c r="DP26" s="60">
        <v>8</v>
      </c>
      <c r="DQ26" s="60">
        <v>0</v>
      </c>
      <c r="DR26" s="60">
        <v>0</v>
      </c>
      <c r="DS26" s="60">
        <v>0</v>
      </c>
      <c r="DU26" s="49">
        <v>17</v>
      </c>
      <c r="DV26" s="2">
        <f t="shared" si="26"/>
        <v>0</v>
      </c>
      <c r="DW26" s="2">
        <f t="shared" si="27"/>
        <v>1712000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12840000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684800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1728000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12856000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700800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3</v>
      </c>
      <c r="BX27">
        <v>13</v>
      </c>
      <c r="BY27">
        <v>18</v>
      </c>
      <c r="BZ27">
        <v>3</v>
      </c>
      <c r="CA27">
        <v>13</v>
      </c>
      <c r="CC27" s="49">
        <v>18</v>
      </c>
      <c r="CD27" s="50">
        <v>0</v>
      </c>
      <c r="CE27" s="50">
        <v>66.892553343579095</v>
      </c>
      <c r="CF27" s="50">
        <v>589.01571803852903</v>
      </c>
      <c r="CG27" s="50">
        <v>0</v>
      </c>
      <c r="CH27" s="50">
        <v>0</v>
      </c>
      <c r="CI27" s="50">
        <v>0</v>
      </c>
      <c r="CJ27" s="50">
        <v>0</v>
      </c>
      <c r="CK27" s="50">
        <v>0</v>
      </c>
      <c r="CL27" s="50">
        <v>0</v>
      </c>
      <c r="CM27" s="50">
        <v>0</v>
      </c>
      <c r="CN27" s="50">
        <v>0</v>
      </c>
      <c r="CO27" s="50">
        <v>0</v>
      </c>
      <c r="CP27" s="50">
        <v>526.645868329819</v>
      </c>
      <c r="CQ27" s="50">
        <v>0</v>
      </c>
      <c r="CR27" s="50">
        <v>0</v>
      </c>
      <c r="CS27" s="50">
        <v>0</v>
      </c>
      <c r="CT27" s="50">
        <v>0</v>
      </c>
      <c r="CU27" s="50">
        <v>7.81286768647914</v>
      </c>
      <c r="CV27" s="50">
        <v>0</v>
      </c>
      <c r="CW27" s="50">
        <v>0</v>
      </c>
      <c r="CY27" s="49">
        <v>18</v>
      </c>
      <c r="CZ27" s="60">
        <v>0</v>
      </c>
      <c r="DA27" s="60">
        <v>79</v>
      </c>
      <c r="DB27" s="60">
        <v>602</v>
      </c>
      <c r="DC27" s="60">
        <v>0</v>
      </c>
      <c r="DD27" s="60">
        <v>0</v>
      </c>
      <c r="DE27" s="60">
        <v>0</v>
      </c>
      <c r="DF27" s="60">
        <v>0</v>
      </c>
      <c r="DG27" s="60">
        <v>0</v>
      </c>
      <c r="DH27" s="60">
        <v>0</v>
      </c>
      <c r="DI27" s="60">
        <v>0</v>
      </c>
      <c r="DJ27" s="60">
        <v>0</v>
      </c>
      <c r="DK27" s="60">
        <v>0</v>
      </c>
      <c r="DL27" s="60">
        <v>540</v>
      </c>
      <c r="DM27" s="60">
        <v>0</v>
      </c>
      <c r="DN27" s="60">
        <v>0</v>
      </c>
      <c r="DO27" s="60">
        <v>0</v>
      </c>
      <c r="DP27" s="60">
        <v>0</v>
      </c>
      <c r="DQ27" s="60">
        <v>14</v>
      </c>
      <c r="DR27" s="60">
        <v>0</v>
      </c>
      <c r="DS27" s="60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51531200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1198400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51547200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1214400</v>
      </c>
      <c r="FJ27" s="2">
        <f t="shared" si="64"/>
        <v>0</v>
      </c>
      <c r="FK27" s="2">
        <f t="shared" si="65"/>
        <v>0</v>
      </c>
    </row>
    <row r="28" spans="1:167" ht="15.75" thickBot="1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 s="50">
        <v>0</v>
      </c>
      <c r="CE28" s="50">
        <v>0</v>
      </c>
      <c r="CF28" s="50">
        <v>749.34539833446502</v>
      </c>
      <c r="CG28" s="50">
        <v>0</v>
      </c>
      <c r="CH28" s="50">
        <v>0</v>
      </c>
      <c r="CI28" s="50">
        <v>0</v>
      </c>
      <c r="CJ28" s="50">
        <v>0</v>
      </c>
      <c r="CK28" s="50">
        <v>0</v>
      </c>
      <c r="CL28" s="50">
        <v>0</v>
      </c>
      <c r="CM28" s="50">
        <v>0</v>
      </c>
      <c r="CN28" s="50">
        <v>0</v>
      </c>
      <c r="CO28" s="50">
        <v>0</v>
      </c>
      <c r="CP28" s="50">
        <v>0</v>
      </c>
      <c r="CQ28" s="50">
        <v>0</v>
      </c>
      <c r="CR28" s="50">
        <v>20.632231316344399</v>
      </c>
      <c r="CS28" s="50">
        <v>0</v>
      </c>
      <c r="CT28" s="50">
        <v>0</v>
      </c>
      <c r="CU28" s="50">
        <v>0</v>
      </c>
      <c r="CV28" s="50">
        <v>61.8223703491905</v>
      </c>
      <c r="CW28" s="50">
        <v>0</v>
      </c>
      <c r="CY28" s="49">
        <v>19</v>
      </c>
      <c r="CZ28" s="60">
        <v>0</v>
      </c>
      <c r="DA28" s="60">
        <v>0</v>
      </c>
      <c r="DB28" s="60">
        <v>761</v>
      </c>
      <c r="DC28" s="60">
        <v>0</v>
      </c>
      <c r="DD28" s="60">
        <v>0</v>
      </c>
      <c r="DE28" s="60">
        <v>0</v>
      </c>
      <c r="DF28" s="60">
        <v>0</v>
      </c>
      <c r="DG28" s="60">
        <v>0</v>
      </c>
      <c r="DH28" s="60">
        <v>0</v>
      </c>
      <c r="DI28" s="60">
        <v>0</v>
      </c>
      <c r="DJ28" s="60">
        <v>0</v>
      </c>
      <c r="DK28" s="60">
        <v>0</v>
      </c>
      <c r="DL28" s="60">
        <v>0</v>
      </c>
      <c r="DM28" s="60">
        <v>0</v>
      </c>
      <c r="DN28" s="60">
        <v>29</v>
      </c>
      <c r="DO28" s="60">
        <v>0</v>
      </c>
      <c r="DP28" s="60">
        <v>0</v>
      </c>
      <c r="DQ28" s="60">
        <v>0</v>
      </c>
      <c r="DR28" s="60">
        <v>73</v>
      </c>
      <c r="DS28" s="60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65141600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6248800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65157600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6264800</v>
      </c>
      <c r="FK28" s="2">
        <f t="shared" si="65"/>
        <v>0</v>
      </c>
    </row>
    <row r="29" spans="1:167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 s="50">
        <v>0</v>
      </c>
      <c r="CE29" s="50">
        <v>0</v>
      </c>
      <c r="CF29" s="50">
        <v>0</v>
      </c>
      <c r="CG29" s="50">
        <v>0</v>
      </c>
      <c r="CH29" s="50">
        <v>0</v>
      </c>
      <c r="CI29" s="50">
        <v>267.59741591908198</v>
      </c>
      <c r="CJ29" s="50">
        <v>439.16736034168503</v>
      </c>
      <c r="CK29" s="50">
        <v>0</v>
      </c>
      <c r="CL29" s="50">
        <v>323.29050627256203</v>
      </c>
      <c r="CM29" s="50">
        <v>0</v>
      </c>
      <c r="CN29" s="50">
        <v>0</v>
      </c>
      <c r="CO29" s="50">
        <v>0</v>
      </c>
      <c r="CP29" s="50">
        <v>0</v>
      </c>
      <c r="CQ29" s="50">
        <v>0</v>
      </c>
      <c r="CR29" s="50">
        <v>0</v>
      </c>
      <c r="CS29" s="50">
        <v>0</v>
      </c>
      <c r="CT29" s="50">
        <v>0</v>
      </c>
      <c r="CU29" s="50">
        <v>0</v>
      </c>
      <c r="CV29" s="50">
        <v>0</v>
      </c>
      <c r="CW29" s="50">
        <v>3.4465992351406398</v>
      </c>
      <c r="CY29" s="49">
        <v>20</v>
      </c>
      <c r="CZ29" s="60">
        <v>0</v>
      </c>
      <c r="DA29" s="60">
        <v>0</v>
      </c>
      <c r="DB29" s="60">
        <v>0</v>
      </c>
      <c r="DC29" s="60">
        <v>0</v>
      </c>
      <c r="DD29" s="60">
        <v>0</v>
      </c>
      <c r="DE29" s="60">
        <v>282</v>
      </c>
      <c r="DF29" s="60">
        <v>454</v>
      </c>
      <c r="DG29" s="60">
        <v>0</v>
      </c>
      <c r="DH29" s="60">
        <v>338</v>
      </c>
      <c r="DI29" s="60">
        <v>0</v>
      </c>
      <c r="DJ29" s="60">
        <v>0</v>
      </c>
      <c r="DK29" s="60">
        <v>0</v>
      </c>
      <c r="DL29" s="60">
        <v>0</v>
      </c>
      <c r="DM29" s="60">
        <v>0</v>
      </c>
      <c r="DN29" s="60">
        <v>0</v>
      </c>
      <c r="DO29" s="60">
        <v>0</v>
      </c>
      <c r="DP29" s="60">
        <v>0</v>
      </c>
      <c r="DQ29" s="60">
        <v>0</v>
      </c>
      <c r="DR29" s="60">
        <v>0</v>
      </c>
      <c r="DS29" s="60">
        <v>8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28932800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684800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28948800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700800</v>
      </c>
    </row>
    <row r="30" spans="1:167" ht="14.45" hidden="1" customHeight="1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>
      <c r="BZ31" t="s">
        <v>25</v>
      </c>
      <c r="CA31">
        <f>SUM(BH10:CA29)</f>
        <v>3662</v>
      </c>
    </row>
    <row r="32" spans="1:167" ht="15.75" hidden="1" thickBot="1">
      <c r="A32" s="33" t="s">
        <v>13</v>
      </c>
      <c r="B32" s="34">
        <v>0</v>
      </c>
    </row>
    <row r="33" spans="1:167" ht="15.75" hidden="1" thickBot="1">
      <c r="A33" s="33" t="s">
        <v>14</v>
      </c>
      <c r="B33" s="33">
        <v>100</v>
      </c>
    </row>
    <row r="34" spans="1:167" ht="15.75" hidden="1" thickBot="1">
      <c r="A34" s="33" t="s">
        <v>15</v>
      </c>
      <c r="B34" s="33">
        <v>0.5</v>
      </c>
    </row>
    <row r="35" spans="1:167" ht="15.75" hidden="1" thickBot="1">
      <c r="A35" s="35" t="s">
        <v>16</v>
      </c>
      <c r="B35" s="35">
        <v>20</v>
      </c>
    </row>
    <row r="36" spans="1:167">
      <c r="BC36" t="s">
        <v>25</v>
      </c>
      <c r="BD36">
        <f>SUM(AK10:BD29)</f>
        <v>11191.600000000004</v>
      </c>
      <c r="CV36" t="s">
        <v>25</v>
      </c>
      <c r="CW36">
        <f>SUM(CD10:CW29)</f>
        <v>32666.324135959105</v>
      </c>
      <c r="DR36" t="s">
        <v>25</v>
      </c>
      <c r="DS36">
        <f>SUM(CZ10:DS29)</f>
        <v>33659</v>
      </c>
      <c r="EN36" t="s">
        <v>25</v>
      </c>
      <c r="EO36">
        <f>SUM(DV10:EO29)</f>
        <v>2881210400</v>
      </c>
      <c r="FJ36" t="s">
        <v>25</v>
      </c>
      <c r="FK36">
        <f>SUM(ER10:FK29)</f>
        <v>2882778400</v>
      </c>
    </row>
    <row r="38" spans="1:167" ht="15.75" thickBot="1"/>
    <row r="39" spans="1:167" ht="15.75" thickBot="1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C4985-FF06-4A24-A1FB-3295E7BDE72F}">
  <dimension ref="A1:EV85"/>
  <sheetViews>
    <sheetView tabSelected="1" topLeftCell="DU53" workbookViewId="0">
      <selection activeCell="EV80" sqref="EV80"/>
    </sheetView>
  </sheetViews>
  <sheetFormatPr defaultRowHeight="15"/>
  <cols>
    <col min="20" max="20" width="11" bestFit="1" customWidth="1"/>
    <col min="46" max="47" width="10.42578125" bestFit="1" customWidth="1"/>
    <col min="48" max="48" width="11.42578125" bestFit="1" customWidth="1"/>
    <col min="49" max="52" width="10.42578125" bestFit="1" customWidth="1"/>
    <col min="53" max="55" width="11.42578125" bestFit="1" customWidth="1"/>
    <col min="56" max="56" width="10.42578125" bestFit="1" customWidth="1"/>
    <col min="57" max="57" width="11.42578125" bestFit="1" customWidth="1"/>
    <col min="58" max="65" width="10.42578125" bestFit="1" customWidth="1"/>
    <col min="131" max="131" width="11" bestFit="1" customWidth="1"/>
    <col min="152" max="152" width="11" bestFit="1" customWidth="1"/>
  </cols>
  <sheetData>
    <row r="1" spans="1:20">
      <c r="A1">
        <v>1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>
        <v>8</v>
      </c>
      <c r="J1">
        <v>8</v>
      </c>
      <c r="K1">
        <v>8</v>
      </c>
      <c r="L1">
        <v>8</v>
      </c>
      <c r="M1">
        <v>8</v>
      </c>
      <c r="N1">
        <v>8</v>
      </c>
      <c r="O1">
        <v>8</v>
      </c>
      <c r="P1">
        <v>8</v>
      </c>
      <c r="Q1">
        <v>8</v>
      </c>
      <c r="R1">
        <v>8</v>
      </c>
      <c r="S1">
        <v>8</v>
      </c>
      <c r="T1">
        <v>8</v>
      </c>
    </row>
    <row r="2" spans="1:20">
      <c r="A2">
        <v>12</v>
      </c>
      <c r="B2">
        <v>2</v>
      </c>
      <c r="C2">
        <v>12</v>
      </c>
      <c r="D2">
        <v>12</v>
      </c>
      <c r="E2">
        <v>12</v>
      </c>
      <c r="F2">
        <v>12</v>
      </c>
      <c r="G2">
        <v>12</v>
      </c>
      <c r="H2">
        <v>11</v>
      </c>
      <c r="I2">
        <v>11</v>
      </c>
      <c r="J2">
        <v>12</v>
      </c>
      <c r="K2">
        <v>11</v>
      </c>
      <c r="L2">
        <v>12</v>
      </c>
      <c r="M2">
        <v>18</v>
      </c>
      <c r="N2">
        <v>14</v>
      </c>
      <c r="O2">
        <v>15</v>
      </c>
      <c r="P2">
        <v>12</v>
      </c>
      <c r="Q2">
        <v>17</v>
      </c>
      <c r="R2">
        <v>18</v>
      </c>
      <c r="S2">
        <v>12</v>
      </c>
      <c r="T2">
        <v>12</v>
      </c>
    </row>
    <row r="3" spans="1:20">
      <c r="A3">
        <v>1</v>
      </c>
      <c r="B3">
        <v>10</v>
      </c>
      <c r="C3">
        <v>3</v>
      </c>
      <c r="D3">
        <v>4</v>
      </c>
      <c r="E3">
        <v>5</v>
      </c>
      <c r="F3">
        <v>10</v>
      </c>
      <c r="G3">
        <v>10</v>
      </c>
      <c r="H3">
        <v>10</v>
      </c>
      <c r="I3">
        <v>10</v>
      </c>
      <c r="J3">
        <v>10</v>
      </c>
      <c r="K3">
        <v>10</v>
      </c>
      <c r="L3">
        <v>10</v>
      </c>
      <c r="M3">
        <v>18</v>
      </c>
      <c r="N3">
        <v>4</v>
      </c>
      <c r="O3">
        <v>10</v>
      </c>
      <c r="P3">
        <v>10</v>
      </c>
      <c r="Q3">
        <v>10</v>
      </c>
      <c r="R3">
        <v>18</v>
      </c>
      <c r="S3">
        <v>19</v>
      </c>
      <c r="T3">
        <v>10</v>
      </c>
    </row>
    <row r="4" spans="1:20">
      <c r="A4">
        <v>3</v>
      </c>
      <c r="B4">
        <v>3</v>
      </c>
      <c r="C4">
        <v>3</v>
      </c>
      <c r="D4">
        <v>4</v>
      </c>
      <c r="E4">
        <v>3</v>
      </c>
      <c r="F4">
        <v>3</v>
      </c>
      <c r="G4">
        <v>3</v>
      </c>
      <c r="H4">
        <v>8</v>
      </c>
      <c r="I4">
        <v>8</v>
      </c>
      <c r="J4">
        <v>3</v>
      </c>
      <c r="K4">
        <v>3</v>
      </c>
      <c r="L4">
        <v>3</v>
      </c>
      <c r="M4">
        <v>3</v>
      </c>
      <c r="N4">
        <v>14</v>
      </c>
      <c r="O4">
        <v>15</v>
      </c>
      <c r="P4">
        <v>8</v>
      </c>
      <c r="Q4">
        <v>3</v>
      </c>
      <c r="R4">
        <v>3</v>
      </c>
      <c r="S4">
        <v>3</v>
      </c>
      <c r="T4">
        <v>3</v>
      </c>
    </row>
    <row r="5" spans="1:20">
      <c r="A5">
        <v>3</v>
      </c>
      <c r="B5">
        <v>3</v>
      </c>
      <c r="C5">
        <v>3</v>
      </c>
      <c r="D5">
        <v>3</v>
      </c>
      <c r="E5">
        <v>5</v>
      </c>
      <c r="F5">
        <v>15</v>
      </c>
      <c r="G5">
        <v>7</v>
      </c>
      <c r="H5">
        <v>15</v>
      </c>
      <c r="I5">
        <v>15</v>
      </c>
      <c r="J5">
        <v>3</v>
      </c>
      <c r="K5">
        <v>3</v>
      </c>
      <c r="L5">
        <v>3</v>
      </c>
      <c r="M5">
        <v>3</v>
      </c>
      <c r="N5">
        <v>14</v>
      </c>
      <c r="O5">
        <v>15</v>
      </c>
      <c r="P5">
        <v>16</v>
      </c>
      <c r="Q5">
        <v>17</v>
      </c>
      <c r="R5">
        <v>3</v>
      </c>
      <c r="S5">
        <v>3</v>
      </c>
      <c r="T5">
        <v>7</v>
      </c>
    </row>
    <row r="6" spans="1:20">
      <c r="A6">
        <v>20</v>
      </c>
      <c r="B6">
        <v>10</v>
      </c>
      <c r="C6">
        <v>10</v>
      </c>
      <c r="D6">
        <v>10</v>
      </c>
      <c r="E6">
        <v>15</v>
      </c>
      <c r="F6">
        <v>6</v>
      </c>
      <c r="G6">
        <v>20</v>
      </c>
      <c r="H6">
        <v>20</v>
      </c>
      <c r="I6">
        <v>20</v>
      </c>
      <c r="J6">
        <v>10</v>
      </c>
      <c r="K6">
        <v>10</v>
      </c>
      <c r="L6">
        <v>10</v>
      </c>
      <c r="M6">
        <v>13</v>
      </c>
      <c r="N6">
        <v>10</v>
      </c>
      <c r="O6">
        <v>15</v>
      </c>
      <c r="P6">
        <v>20</v>
      </c>
      <c r="Q6">
        <v>20</v>
      </c>
      <c r="R6">
        <v>13</v>
      </c>
      <c r="S6">
        <v>10</v>
      </c>
      <c r="T6">
        <v>20</v>
      </c>
    </row>
    <row r="7" spans="1:20">
      <c r="A7">
        <v>20</v>
      </c>
      <c r="B7">
        <v>10</v>
      </c>
      <c r="C7">
        <v>10</v>
      </c>
      <c r="D7">
        <v>10</v>
      </c>
      <c r="E7">
        <v>5</v>
      </c>
      <c r="F7">
        <v>20</v>
      </c>
      <c r="G7">
        <v>7</v>
      </c>
      <c r="H7">
        <v>20</v>
      </c>
      <c r="I7">
        <v>20</v>
      </c>
      <c r="J7">
        <v>10</v>
      </c>
      <c r="K7">
        <v>10</v>
      </c>
      <c r="L7">
        <v>10</v>
      </c>
      <c r="M7">
        <v>20</v>
      </c>
      <c r="N7">
        <v>10</v>
      </c>
      <c r="O7">
        <v>20</v>
      </c>
      <c r="P7">
        <v>20</v>
      </c>
      <c r="Q7">
        <v>17</v>
      </c>
      <c r="R7">
        <v>20</v>
      </c>
      <c r="S7">
        <v>10</v>
      </c>
      <c r="T7">
        <v>20</v>
      </c>
    </row>
    <row r="8" spans="1:20">
      <c r="A8">
        <v>1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15</v>
      </c>
      <c r="P8">
        <v>16</v>
      </c>
      <c r="Q8">
        <v>9</v>
      </c>
      <c r="R8">
        <v>9</v>
      </c>
      <c r="S8">
        <v>9</v>
      </c>
      <c r="T8">
        <v>9</v>
      </c>
    </row>
    <row r="9" spans="1:20">
      <c r="A9">
        <v>8</v>
      </c>
      <c r="B9">
        <v>12</v>
      </c>
      <c r="C9">
        <v>12</v>
      </c>
      <c r="D9">
        <v>12</v>
      </c>
      <c r="E9">
        <v>12</v>
      </c>
      <c r="F9">
        <v>12</v>
      </c>
      <c r="G9">
        <v>20</v>
      </c>
      <c r="H9">
        <v>8</v>
      </c>
      <c r="I9">
        <v>9</v>
      </c>
      <c r="J9">
        <v>12</v>
      </c>
      <c r="K9">
        <v>11</v>
      </c>
      <c r="L9">
        <v>12</v>
      </c>
      <c r="M9">
        <v>12</v>
      </c>
      <c r="N9">
        <v>14</v>
      </c>
      <c r="O9">
        <v>8</v>
      </c>
      <c r="P9">
        <v>8</v>
      </c>
      <c r="Q9">
        <v>20</v>
      </c>
      <c r="R9">
        <v>12</v>
      </c>
      <c r="S9">
        <v>12</v>
      </c>
      <c r="T9">
        <v>20</v>
      </c>
    </row>
    <row r="10" spans="1:20">
      <c r="A10">
        <v>3</v>
      </c>
      <c r="B10">
        <v>12</v>
      </c>
      <c r="C10">
        <v>3</v>
      </c>
      <c r="D10">
        <v>3</v>
      </c>
      <c r="E10">
        <v>3</v>
      </c>
      <c r="F10">
        <v>6</v>
      </c>
      <c r="G10">
        <v>7</v>
      </c>
      <c r="H10">
        <v>12</v>
      </c>
      <c r="I10">
        <v>12</v>
      </c>
      <c r="J10">
        <v>10</v>
      </c>
      <c r="K10">
        <v>12</v>
      </c>
      <c r="L10">
        <v>12</v>
      </c>
      <c r="M10">
        <v>3</v>
      </c>
      <c r="N10">
        <v>12</v>
      </c>
      <c r="O10">
        <v>6</v>
      </c>
      <c r="P10">
        <v>16</v>
      </c>
      <c r="Q10">
        <v>7</v>
      </c>
      <c r="R10">
        <v>3</v>
      </c>
      <c r="S10">
        <v>3</v>
      </c>
      <c r="T10">
        <v>6</v>
      </c>
    </row>
    <row r="11" spans="1:20">
      <c r="A11">
        <v>9</v>
      </c>
      <c r="B11">
        <v>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9</v>
      </c>
      <c r="I11">
        <v>9</v>
      </c>
      <c r="J11">
        <v>12</v>
      </c>
      <c r="K11">
        <v>11</v>
      </c>
      <c r="L11">
        <v>12</v>
      </c>
      <c r="M11">
        <v>12</v>
      </c>
      <c r="N11">
        <v>9</v>
      </c>
      <c r="O11">
        <v>9</v>
      </c>
      <c r="P11">
        <v>9</v>
      </c>
      <c r="Q11">
        <v>12</v>
      </c>
      <c r="R11">
        <v>12</v>
      </c>
      <c r="S11">
        <v>12</v>
      </c>
      <c r="T11">
        <v>12</v>
      </c>
    </row>
    <row r="12" spans="1:20">
      <c r="A12">
        <v>10</v>
      </c>
      <c r="B12">
        <v>2</v>
      </c>
      <c r="C12">
        <v>10</v>
      </c>
      <c r="D12">
        <v>10</v>
      </c>
      <c r="E12">
        <v>10</v>
      </c>
      <c r="F12">
        <v>10</v>
      </c>
      <c r="G12">
        <v>10</v>
      </c>
      <c r="H12">
        <v>11</v>
      </c>
      <c r="I12">
        <v>11</v>
      </c>
      <c r="J12">
        <v>10</v>
      </c>
      <c r="K12">
        <v>11</v>
      </c>
      <c r="L12">
        <v>12</v>
      </c>
      <c r="M12">
        <v>10</v>
      </c>
      <c r="N12">
        <v>2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10</v>
      </c>
    </row>
    <row r="13" spans="1:20">
      <c r="A13">
        <v>1</v>
      </c>
      <c r="B13">
        <v>18</v>
      </c>
      <c r="C13">
        <v>18</v>
      </c>
      <c r="D13">
        <v>18</v>
      </c>
      <c r="E13">
        <v>18</v>
      </c>
      <c r="F13">
        <v>6</v>
      </c>
      <c r="G13">
        <v>6</v>
      </c>
      <c r="H13">
        <v>6</v>
      </c>
      <c r="I13">
        <v>6</v>
      </c>
      <c r="J13">
        <v>18</v>
      </c>
      <c r="K13">
        <v>18</v>
      </c>
      <c r="L13">
        <v>18</v>
      </c>
      <c r="M13">
        <v>13</v>
      </c>
      <c r="N13">
        <v>18</v>
      </c>
      <c r="O13">
        <v>6</v>
      </c>
      <c r="P13">
        <v>17</v>
      </c>
      <c r="Q13">
        <v>17</v>
      </c>
      <c r="R13">
        <v>18</v>
      </c>
      <c r="S13">
        <v>18</v>
      </c>
      <c r="T13">
        <v>6</v>
      </c>
    </row>
    <row r="14" spans="1:20">
      <c r="A14">
        <v>9</v>
      </c>
      <c r="B14">
        <v>2</v>
      </c>
      <c r="C14">
        <v>4</v>
      </c>
      <c r="D14">
        <v>4</v>
      </c>
      <c r="E14">
        <v>5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4</v>
      </c>
      <c r="N14">
        <v>14</v>
      </c>
      <c r="O14">
        <v>4</v>
      </c>
      <c r="P14">
        <v>9</v>
      </c>
      <c r="Q14">
        <v>9</v>
      </c>
      <c r="R14">
        <v>4</v>
      </c>
      <c r="S14">
        <v>4</v>
      </c>
      <c r="T14">
        <v>9</v>
      </c>
    </row>
    <row r="15" spans="1:20">
      <c r="A15">
        <v>8</v>
      </c>
      <c r="B15">
        <v>2</v>
      </c>
      <c r="C15">
        <v>6</v>
      </c>
      <c r="D15">
        <v>4</v>
      </c>
      <c r="E15">
        <v>5</v>
      </c>
      <c r="F15">
        <v>6</v>
      </c>
      <c r="G15">
        <v>6</v>
      </c>
      <c r="H15">
        <v>8</v>
      </c>
      <c r="I15">
        <v>8</v>
      </c>
      <c r="J15">
        <v>6</v>
      </c>
      <c r="K15">
        <v>8</v>
      </c>
      <c r="L15">
        <v>6</v>
      </c>
      <c r="M15">
        <v>6</v>
      </c>
      <c r="N15">
        <v>4</v>
      </c>
      <c r="O15">
        <v>15</v>
      </c>
      <c r="P15">
        <v>8</v>
      </c>
      <c r="Q15">
        <v>6</v>
      </c>
      <c r="R15">
        <v>6</v>
      </c>
      <c r="S15">
        <v>19</v>
      </c>
      <c r="T15">
        <v>6</v>
      </c>
    </row>
    <row r="16" spans="1:20">
      <c r="A16">
        <v>8</v>
      </c>
      <c r="B16">
        <v>8</v>
      </c>
      <c r="C16">
        <v>8</v>
      </c>
      <c r="D16">
        <v>8</v>
      </c>
      <c r="E16">
        <v>5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17</v>
      </c>
      <c r="N16">
        <v>8</v>
      </c>
      <c r="O16">
        <v>8</v>
      </c>
      <c r="P16">
        <v>16</v>
      </c>
      <c r="Q16">
        <v>17</v>
      </c>
      <c r="R16">
        <v>8</v>
      </c>
      <c r="S16">
        <v>8</v>
      </c>
      <c r="T16">
        <v>8</v>
      </c>
    </row>
    <row r="17" spans="1:20">
      <c r="A17">
        <v>7</v>
      </c>
      <c r="B17">
        <v>2</v>
      </c>
      <c r="C17">
        <v>7</v>
      </c>
      <c r="D17">
        <v>7</v>
      </c>
      <c r="E17">
        <v>5</v>
      </c>
      <c r="F17">
        <v>7</v>
      </c>
      <c r="G17">
        <v>7</v>
      </c>
      <c r="H17">
        <v>7</v>
      </c>
      <c r="I17">
        <v>7</v>
      </c>
      <c r="J17">
        <v>7</v>
      </c>
      <c r="K17">
        <v>7</v>
      </c>
      <c r="L17">
        <v>7</v>
      </c>
      <c r="M17">
        <v>13</v>
      </c>
      <c r="N17">
        <v>2</v>
      </c>
      <c r="O17">
        <v>7</v>
      </c>
      <c r="P17">
        <v>16</v>
      </c>
      <c r="Q17">
        <v>17</v>
      </c>
      <c r="R17">
        <v>13</v>
      </c>
      <c r="S17">
        <v>7</v>
      </c>
      <c r="T17">
        <v>7</v>
      </c>
    </row>
    <row r="18" spans="1:20">
      <c r="A18">
        <v>3</v>
      </c>
      <c r="B18">
        <v>2</v>
      </c>
      <c r="C18">
        <v>3</v>
      </c>
      <c r="D18">
        <v>3</v>
      </c>
      <c r="E18">
        <v>3</v>
      </c>
      <c r="F18">
        <v>13</v>
      </c>
      <c r="G18">
        <v>13</v>
      </c>
      <c r="H18">
        <v>9</v>
      </c>
      <c r="I18">
        <v>9</v>
      </c>
      <c r="J18">
        <v>3</v>
      </c>
      <c r="K18">
        <v>3</v>
      </c>
      <c r="L18">
        <v>3</v>
      </c>
      <c r="M18">
        <v>13</v>
      </c>
      <c r="N18">
        <v>3</v>
      </c>
      <c r="O18">
        <v>13</v>
      </c>
      <c r="P18">
        <v>9</v>
      </c>
      <c r="Q18">
        <v>13</v>
      </c>
      <c r="R18">
        <v>18</v>
      </c>
      <c r="S18">
        <v>3</v>
      </c>
      <c r="T18">
        <v>13</v>
      </c>
    </row>
    <row r="19" spans="1:20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9</v>
      </c>
      <c r="I19">
        <v>9</v>
      </c>
      <c r="J19">
        <v>3</v>
      </c>
      <c r="K19">
        <v>3</v>
      </c>
      <c r="L19">
        <v>3</v>
      </c>
      <c r="M19">
        <v>3</v>
      </c>
      <c r="N19">
        <v>3</v>
      </c>
      <c r="O19">
        <v>15</v>
      </c>
      <c r="P19">
        <v>3</v>
      </c>
      <c r="Q19">
        <v>3</v>
      </c>
      <c r="R19">
        <v>3</v>
      </c>
      <c r="S19">
        <v>19</v>
      </c>
      <c r="T19">
        <v>3</v>
      </c>
    </row>
    <row r="20" spans="1:20">
      <c r="A20">
        <v>9</v>
      </c>
      <c r="B20">
        <v>6</v>
      </c>
      <c r="C20">
        <v>6</v>
      </c>
      <c r="D20">
        <v>6</v>
      </c>
      <c r="E20">
        <v>7</v>
      </c>
      <c r="F20">
        <v>6</v>
      </c>
      <c r="G20">
        <v>7</v>
      </c>
      <c r="H20">
        <v>9</v>
      </c>
      <c r="I20">
        <v>9</v>
      </c>
      <c r="J20">
        <v>6</v>
      </c>
      <c r="K20">
        <v>6</v>
      </c>
      <c r="L20">
        <v>6</v>
      </c>
      <c r="M20">
        <v>6</v>
      </c>
      <c r="N20">
        <v>9</v>
      </c>
      <c r="O20">
        <v>6</v>
      </c>
      <c r="P20">
        <v>9</v>
      </c>
      <c r="Q20">
        <v>7</v>
      </c>
      <c r="R20">
        <v>6</v>
      </c>
      <c r="S20">
        <v>6</v>
      </c>
      <c r="T20">
        <v>20</v>
      </c>
    </row>
    <row r="22" spans="1:20">
      <c r="A22" s="50" t="s">
        <v>35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36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50">
        <v>0</v>
      </c>
      <c r="B23" t="s">
        <v>37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38</v>
      </c>
      <c r="L23" t="s">
        <v>39</v>
      </c>
      <c r="M23">
        <v>0</v>
      </c>
      <c r="N23" t="s">
        <v>40</v>
      </c>
      <c r="O23" t="s">
        <v>41</v>
      </c>
      <c r="P23">
        <v>0</v>
      </c>
      <c r="Q23" t="s">
        <v>42</v>
      </c>
      <c r="R23" t="s">
        <v>43</v>
      </c>
      <c r="S23">
        <v>0</v>
      </c>
      <c r="T23">
        <v>0</v>
      </c>
    </row>
    <row r="24" spans="1:20">
      <c r="A24" s="50" t="s">
        <v>44</v>
      </c>
      <c r="B24">
        <v>0</v>
      </c>
      <c r="C24" t="s">
        <v>45</v>
      </c>
      <c r="D24" t="s">
        <v>46</v>
      </c>
      <c r="E24" t="s">
        <v>47</v>
      </c>
      <c r="F24">
        <v>0</v>
      </c>
      <c r="G24">
        <v>0</v>
      </c>
      <c r="H24">
        <v>0</v>
      </c>
      <c r="I24">
        <v>0</v>
      </c>
      <c r="J24" t="s">
        <v>48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t="s">
        <v>49</v>
      </c>
      <c r="S24" t="s">
        <v>50</v>
      </c>
      <c r="T24">
        <v>0</v>
      </c>
    </row>
    <row r="25" spans="1:20">
      <c r="A25" s="50">
        <v>0</v>
      </c>
      <c r="B25">
        <v>0</v>
      </c>
      <c r="C25" t="s">
        <v>51</v>
      </c>
      <c r="D25" t="s">
        <v>52</v>
      </c>
      <c r="E25">
        <v>0</v>
      </c>
      <c r="F25">
        <v>0</v>
      </c>
      <c r="G25">
        <v>0</v>
      </c>
      <c r="H25" t="s">
        <v>53</v>
      </c>
      <c r="I25">
        <v>0</v>
      </c>
      <c r="J25">
        <v>0</v>
      </c>
      <c r="K25">
        <v>0</v>
      </c>
      <c r="L25">
        <v>0</v>
      </c>
      <c r="M25">
        <v>0</v>
      </c>
      <c r="N25" t="s">
        <v>54</v>
      </c>
      <c r="O25" t="s">
        <v>55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50">
        <v>0</v>
      </c>
      <c r="B26">
        <v>0</v>
      </c>
      <c r="C26" t="s">
        <v>56</v>
      </c>
      <c r="D26">
        <v>0</v>
      </c>
      <c r="E26" t="s">
        <v>57</v>
      </c>
      <c r="F26">
        <v>0</v>
      </c>
      <c r="G26" t="s">
        <v>58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">
        <v>59</v>
      </c>
      <c r="O26" t="s">
        <v>60</v>
      </c>
      <c r="P26" t="s">
        <v>61</v>
      </c>
      <c r="Q26" t="s">
        <v>62</v>
      </c>
      <c r="R26">
        <v>0</v>
      </c>
      <c r="S26">
        <v>0</v>
      </c>
      <c r="T26">
        <v>0</v>
      </c>
    </row>
    <row r="27" spans="1:20">
      <c r="A27" s="50">
        <v>0</v>
      </c>
      <c r="B27">
        <v>0</v>
      </c>
      <c r="C27">
        <v>0</v>
      </c>
      <c r="D27">
        <v>0</v>
      </c>
      <c r="E27">
        <v>0</v>
      </c>
      <c r="F27" t="s">
        <v>63</v>
      </c>
      <c r="G27">
        <v>0</v>
      </c>
      <c r="H27">
        <v>0</v>
      </c>
      <c r="I27">
        <v>0</v>
      </c>
      <c r="J27" t="s">
        <v>64</v>
      </c>
      <c r="K27">
        <v>0</v>
      </c>
      <c r="L27">
        <v>0</v>
      </c>
      <c r="M27" t="s">
        <v>65</v>
      </c>
      <c r="N27">
        <v>0</v>
      </c>
      <c r="O27" t="s">
        <v>66</v>
      </c>
      <c r="P27">
        <v>0</v>
      </c>
      <c r="Q27">
        <v>0</v>
      </c>
      <c r="R27">
        <v>0</v>
      </c>
      <c r="S27">
        <v>0</v>
      </c>
      <c r="T27" t="s">
        <v>67</v>
      </c>
    </row>
    <row r="28" spans="1:20">
      <c r="A28" s="50">
        <v>0</v>
      </c>
      <c r="B28">
        <v>0</v>
      </c>
      <c r="C28">
        <v>0</v>
      </c>
      <c r="D28">
        <v>0</v>
      </c>
      <c r="E28" t="s">
        <v>58</v>
      </c>
      <c r="F28">
        <v>0</v>
      </c>
      <c r="G28" t="s">
        <v>68</v>
      </c>
      <c r="H28">
        <v>0</v>
      </c>
      <c r="I28">
        <v>0</v>
      </c>
      <c r="J28" t="s">
        <v>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t="s">
        <v>70</v>
      </c>
      <c r="R28">
        <v>0</v>
      </c>
      <c r="S28">
        <v>0</v>
      </c>
      <c r="T28" t="s">
        <v>71</v>
      </c>
    </row>
    <row r="29" spans="1:20">
      <c r="A29" s="50" t="s">
        <v>72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73</v>
      </c>
      <c r="I29" t="s">
        <v>74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75</v>
      </c>
      <c r="P29" t="s">
        <v>76</v>
      </c>
      <c r="Q29">
        <v>0</v>
      </c>
      <c r="R29">
        <v>0</v>
      </c>
      <c r="S29">
        <v>0</v>
      </c>
      <c r="T29">
        <v>0</v>
      </c>
    </row>
    <row r="30" spans="1:20">
      <c r="A30" s="5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77</v>
      </c>
      <c r="I30" t="s">
        <v>78</v>
      </c>
      <c r="J30">
        <v>0</v>
      </c>
      <c r="K30" t="s">
        <v>79</v>
      </c>
      <c r="L30" t="s">
        <v>80</v>
      </c>
      <c r="M30">
        <v>0</v>
      </c>
      <c r="N30" t="s">
        <v>81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82</v>
      </c>
    </row>
    <row r="31" spans="1:20">
      <c r="A31" s="50">
        <v>0</v>
      </c>
      <c r="B31">
        <v>0</v>
      </c>
      <c r="C31" t="s">
        <v>83</v>
      </c>
      <c r="D31">
        <v>0</v>
      </c>
      <c r="E31">
        <v>0</v>
      </c>
      <c r="F31" t="s">
        <v>84</v>
      </c>
      <c r="G31" t="s">
        <v>85</v>
      </c>
      <c r="H31">
        <v>0</v>
      </c>
      <c r="I31">
        <v>0</v>
      </c>
      <c r="J31" t="s">
        <v>86</v>
      </c>
      <c r="K31">
        <v>0</v>
      </c>
      <c r="L31" t="s">
        <v>87</v>
      </c>
      <c r="M31">
        <v>0</v>
      </c>
      <c r="N31">
        <v>0</v>
      </c>
      <c r="O31">
        <v>0</v>
      </c>
      <c r="P31" t="s">
        <v>88</v>
      </c>
      <c r="Q31">
        <v>0</v>
      </c>
      <c r="R31">
        <v>0</v>
      </c>
      <c r="S31">
        <v>0</v>
      </c>
      <c r="T31">
        <v>0</v>
      </c>
    </row>
    <row r="32" spans="1:20">
      <c r="A32" s="50">
        <v>0</v>
      </c>
      <c r="B32" t="s">
        <v>89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90</v>
      </c>
      <c r="J32">
        <v>0</v>
      </c>
      <c r="K32" t="s">
        <v>91</v>
      </c>
      <c r="L32" t="s">
        <v>92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50">
        <v>0</v>
      </c>
      <c r="B33" t="s">
        <v>93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94</v>
      </c>
      <c r="K33" t="s">
        <v>95</v>
      </c>
      <c r="L33" t="s">
        <v>96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50" t="s">
        <v>97</v>
      </c>
      <c r="B34">
        <v>0</v>
      </c>
      <c r="C34">
        <v>0</v>
      </c>
      <c r="D34">
        <v>0</v>
      </c>
      <c r="E34">
        <v>0</v>
      </c>
      <c r="F34" t="s">
        <v>98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</v>
      </c>
      <c r="N34">
        <v>0</v>
      </c>
      <c r="O34">
        <v>0</v>
      </c>
      <c r="P34">
        <v>0</v>
      </c>
      <c r="Q34" t="s">
        <v>100</v>
      </c>
      <c r="R34" t="s">
        <v>101</v>
      </c>
      <c r="S34">
        <v>0</v>
      </c>
      <c r="T34">
        <v>0</v>
      </c>
    </row>
    <row r="35" spans="1:20">
      <c r="A35" s="50">
        <v>0</v>
      </c>
      <c r="B35" t="s">
        <v>102</v>
      </c>
      <c r="C35">
        <v>0</v>
      </c>
      <c r="D35" t="s">
        <v>54</v>
      </c>
      <c r="E35" t="s">
        <v>59</v>
      </c>
      <c r="F35">
        <v>0</v>
      </c>
      <c r="G35">
        <v>0</v>
      </c>
      <c r="H35">
        <v>0</v>
      </c>
      <c r="I35" t="s">
        <v>103</v>
      </c>
      <c r="J35">
        <v>0</v>
      </c>
      <c r="K35">
        <v>0</v>
      </c>
      <c r="L35">
        <v>0</v>
      </c>
      <c r="M35">
        <v>0</v>
      </c>
      <c r="N35" t="s">
        <v>104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50">
        <v>0</v>
      </c>
      <c r="B36" t="s">
        <v>41</v>
      </c>
      <c r="C36">
        <v>0</v>
      </c>
      <c r="D36" t="s">
        <v>55</v>
      </c>
      <c r="E36" t="s">
        <v>105</v>
      </c>
      <c r="F36" t="s">
        <v>66</v>
      </c>
      <c r="G36">
        <v>0</v>
      </c>
      <c r="H36" t="s">
        <v>106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107</v>
      </c>
      <c r="P36">
        <v>0</v>
      </c>
      <c r="Q36">
        <v>0</v>
      </c>
      <c r="R36">
        <v>0</v>
      </c>
      <c r="S36" t="s">
        <v>108</v>
      </c>
      <c r="T36">
        <v>0</v>
      </c>
    </row>
    <row r="37" spans="1:20">
      <c r="A37" s="50">
        <v>0</v>
      </c>
      <c r="B37">
        <v>0</v>
      </c>
      <c r="C37">
        <v>0</v>
      </c>
      <c r="D37">
        <v>0</v>
      </c>
      <c r="E37" t="s">
        <v>61</v>
      </c>
      <c r="F37">
        <v>0</v>
      </c>
      <c r="G37">
        <v>0</v>
      </c>
      <c r="H37" t="s">
        <v>109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110</v>
      </c>
      <c r="Q37" t="s">
        <v>111</v>
      </c>
      <c r="R37">
        <v>0</v>
      </c>
      <c r="S37">
        <v>0</v>
      </c>
      <c r="T37">
        <v>0</v>
      </c>
    </row>
    <row r="38" spans="1:20">
      <c r="A38" s="50">
        <v>0</v>
      </c>
      <c r="B38" t="s">
        <v>112</v>
      </c>
      <c r="C38">
        <v>0</v>
      </c>
      <c r="D38">
        <v>0</v>
      </c>
      <c r="E38" t="s">
        <v>62</v>
      </c>
      <c r="F38">
        <v>0</v>
      </c>
      <c r="G38" t="s">
        <v>113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100</v>
      </c>
      <c r="N38">
        <v>0</v>
      </c>
      <c r="O38">
        <v>0</v>
      </c>
      <c r="P38" t="s">
        <v>111</v>
      </c>
      <c r="Q38" t="s">
        <v>114</v>
      </c>
      <c r="R38">
        <v>0</v>
      </c>
      <c r="S38">
        <v>0</v>
      </c>
      <c r="T38">
        <v>0</v>
      </c>
    </row>
    <row r="39" spans="1:20">
      <c r="A39" s="50">
        <v>0</v>
      </c>
      <c r="B39" t="s">
        <v>43</v>
      </c>
      <c r="C39" t="s">
        <v>115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116</v>
      </c>
      <c r="J39">
        <v>0</v>
      </c>
      <c r="K39">
        <v>0</v>
      </c>
      <c r="L39">
        <v>0</v>
      </c>
      <c r="M39" t="s">
        <v>117</v>
      </c>
      <c r="N39">
        <v>0</v>
      </c>
      <c r="O39">
        <v>0</v>
      </c>
      <c r="P39">
        <v>0</v>
      </c>
      <c r="Q39">
        <v>0</v>
      </c>
      <c r="R39" t="s">
        <v>118</v>
      </c>
      <c r="S39">
        <v>0</v>
      </c>
      <c r="T39">
        <v>0</v>
      </c>
    </row>
    <row r="40" spans="1:20">
      <c r="A40" s="50">
        <v>0</v>
      </c>
      <c r="B40">
        <v>0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120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108</v>
      </c>
      <c r="P40">
        <v>0</v>
      </c>
      <c r="Q40">
        <v>0</v>
      </c>
      <c r="R40">
        <v>0</v>
      </c>
      <c r="S40" t="s">
        <v>121</v>
      </c>
      <c r="T40">
        <v>0</v>
      </c>
    </row>
    <row r="41" spans="1:20">
      <c r="A41" s="50">
        <v>0</v>
      </c>
      <c r="B41">
        <v>0</v>
      </c>
      <c r="C41">
        <v>0</v>
      </c>
      <c r="D41">
        <v>0</v>
      </c>
      <c r="E41">
        <v>0</v>
      </c>
      <c r="F41" t="s">
        <v>122</v>
      </c>
      <c r="G41" t="s">
        <v>123</v>
      </c>
      <c r="H41">
        <v>0</v>
      </c>
      <c r="I41" t="s">
        <v>124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125</v>
      </c>
    </row>
    <row r="43" spans="1:20">
      <c r="A43">
        <v>47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621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>
        <v>0</v>
      </c>
      <c r="B44">
        <v>60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156</v>
      </c>
      <c r="L44">
        <v>418</v>
      </c>
      <c r="M44">
        <v>0</v>
      </c>
      <c r="N44">
        <v>214</v>
      </c>
      <c r="O44">
        <v>27</v>
      </c>
      <c r="P44">
        <v>0</v>
      </c>
      <c r="Q44">
        <v>20</v>
      </c>
      <c r="R44">
        <v>79</v>
      </c>
      <c r="S44">
        <v>0</v>
      </c>
      <c r="T44">
        <v>0</v>
      </c>
    </row>
    <row r="45" spans="1:20">
      <c r="A45">
        <v>233</v>
      </c>
      <c r="B45">
        <v>0</v>
      </c>
      <c r="C45">
        <v>17</v>
      </c>
      <c r="D45">
        <v>379</v>
      </c>
      <c r="E45">
        <v>201</v>
      </c>
      <c r="F45">
        <v>0</v>
      </c>
      <c r="G45">
        <v>0</v>
      </c>
      <c r="H45">
        <v>0</v>
      </c>
      <c r="I45">
        <v>0</v>
      </c>
      <c r="J45">
        <v>333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602</v>
      </c>
      <c r="S45">
        <v>528</v>
      </c>
      <c r="T45">
        <v>0</v>
      </c>
    </row>
    <row r="46" spans="1:20">
      <c r="A46">
        <v>0</v>
      </c>
      <c r="B46">
        <v>0</v>
      </c>
      <c r="C46">
        <v>549</v>
      </c>
      <c r="D46">
        <v>90</v>
      </c>
      <c r="E46">
        <v>0</v>
      </c>
      <c r="F46">
        <v>0</v>
      </c>
      <c r="G46">
        <v>0</v>
      </c>
      <c r="H46">
        <v>190</v>
      </c>
      <c r="I46">
        <v>0</v>
      </c>
      <c r="J46">
        <v>0</v>
      </c>
      <c r="K46">
        <v>0</v>
      </c>
      <c r="L46">
        <v>0</v>
      </c>
      <c r="M46">
        <v>0</v>
      </c>
      <c r="N46">
        <v>247</v>
      </c>
      <c r="O46">
        <v>52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>
        <v>0</v>
      </c>
      <c r="B47">
        <v>0</v>
      </c>
      <c r="C47">
        <v>167</v>
      </c>
      <c r="D47">
        <v>0</v>
      </c>
      <c r="E47">
        <v>14</v>
      </c>
      <c r="F47">
        <v>0</v>
      </c>
      <c r="G47">
        <v>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29</v>
      </c>
      <c r="O47">
        <v>78</v>
      </c>
      <c r="P47">
        <v>31</v>
      </c>
      <c r="Q47">
        <v>10</v>
      </c>
      <c r="R47">
        <v>0</v>
      </c>
      <c r="S47">
        <v>0</v>
      </c>
      <c r="T47">
        <v>0</v>
      </c>
    </row>
    <row r="48" spans="1:20">
      <c r="A48">
        <v>0</v>
      </c>
      <c r="B48">
        <v>0</v>
      </c>
      <c r="C48">
        <v>0</v>
      </c>
      <c r="D48">
        <v>0</v>
      </c>
      <c r="E48">
        <v>0</v>
      </c>
      <c r="F48">
        <v>91</v>
      </c>
      <c r="G48">
        <v>0</v>
      </c>
      <c r="H48">
        <v>0</v>
      </c>
      <c r="I48">
        <v>0</v>
      </c>
      <c r="J48">
        <v>509</v>
      </c>
      <c r="K48">
        <v>0</v>
      </c>
      <c r="L48">
        <v>0</v>
      </c>
      <c r="M48">
        <v>203</v>
      </c>
      <c r="N48">
        <v>0</v>
      </c>
      <c r="O48">
        <v>130</v>
      </c>
      <c r="P48">
        <v>0</v>
      </c>
      <c r="Q48">
        <v>0</v>
      </c>
      <c r="R48">
        <v>0</v>
      </c>
      <c r="S48">
        <v>0</v>
      </c>
      <c r="T48">
        <v>593</v>
      </c>
    </row>
    <row r="49" spans="1:152">
      <c r="A49">
        <v>0</v>
      </c>
      <c r="B49">
        <v>0</v>
      </c>
      <c r="C49">
        <v>0</v>
      </c>
      <c r="D49">
        <v>0</v>
      </c>
      <c r="E49">
        <v>32</v>
      </c>
      <c r="F49">
        <v>0</v>
      </c>
      <c r="G49">
        <v>53</v>
      </c>
      <c r="H49">
        <v>0</v>
      </c>
      <c r="I49">
        <v>0</v>
      </c>
      <c r="J49">
        <v>368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150</v>
      </c>
      <c r="R49">
        <v>0</v>
      </c>
      <c r="S49">
        <v>0</v>
      </c>
      <c r="T49">
        <v>394</v>
      </c>
    </row>
    <row r="50" spans="1:152">
      <c r="A50">
        <v>363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81</v>
      </c>
      <c r="I50">
        <v>236</v>
      </c>
      <c r="J50">
        <v>0</v>
      </c>
      <c r="K50">
        <v>0</v>
      </c>
      <c r="L50">
        <v>0</v>
      </c>
      <c r="M50">
        <v>0</v>
      </c>
      <c r="N50">
        <v>0</v>
      </c>
      <c r="O50">
        <v>103</v>
      </c>
      <c r="P50">
        <v>537</v>
      </c>
      <c r="Q50">
        <v>0</v>
      </c>
      <c r="R50">
        <v>0</v>
      </c>
      <c r="S50">
        <v>0</v>
      </c>
      <c r="T50">
        <v>0</v>
      </c>
    </row>
    <row r="51" spans="1:152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307</v>
      </c>
      <c r="I51">
        <v>20</v>
      </c>
      <c r="J51">
        <v>0</v>
      </c>
      <c r="K51">
        <v>313</v>
      </c>
      <c r="L51">
        <v>276</v>
      </c>
      <c r="M51">
        <v>0</v>
      </c>
      <c r="N51">
        <v>278</v>
      </c>
      <c r="O51">
        <v>0</v>
      </c>
      <c r="P51">
        <v>0</v>
      </c>
      <c r="Q51">
        <v>0</v>
      </c>
      <c r="R51">
        <v>0</v>
      </c>
      <c r="S51">
        <v>0</v>
      </c>
      <c r="T51">
        <v>338</v>
      </c>
    </row>
    <row r="52" spans="1:152">
      <c r="A52">
        <v>0</v>
      </c>
      <c r="B52">
        <v>0</v>
      </c>
      <c r="C52">
        <v>239</v>
      </c>
      <c r="D52">
        <v>0</v>
      </c>
      <c r="E52">
        <v>0</v>
      </c>
      <c r="F52">
        <v>585</v>
      </c>
      <c r="G52">
        <v>321</v>
      </c>
      <c r="H52">
        <v>0</v>
      </c>
      <c r="I52">
        <v>0</v>
      </c>
      <c r="J52">
        <v>10</v>
      </c>
      <c r="K52">
        <v>0</v>
      </c>
      <c r="L52">
        <v>348</v>
      </c>
      <c r="M52">
        <v>0</v>
      </c>
      <c r="N52">
        <v>0</v>
      </c>
      <c r="O52">
        <v>0</v>
      </c>
      <c r="P52">
        <v>186</v>
      </c>
      <c r="Q52">
        <v>0</v>
      </c>
      <c r="R52">
        <v>0</v>
      </c>
      <c r="S52">
        <v>0</v>
      </c>
      <c r="T52">
        <v>0</v>
      </c>
    </row>
    <row r="53" spans="1:152">
      <c r="A53">
        <v>0</v>
      </c>
      <c r="B53">
        <v>70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474</v>
      </c>
      <c r="J53">
        <v>0</v>
      </c>
      <c r="K53">
        <v>81</v>
      </c>
      <c r="L53">
        <v>467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152">
      <c r="A54">
        <v>0</v>
      </c>
      <c r="B54">
        <v>636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222</v>
      </c>
      <c r="K54">
        <v>544</v>
      </c>
      <c r="L54">
        <v>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152">
      <c r="A55">
        <v>51</v>
      </c>
      <c r="B55">
        <v>0</v>
      </c>
      <c r="C55">
        <v>0</v>
      </c>
      <c r="D55">
        <v>0</v>
      </c>
      <c r="E55">
        <v>0</v>
      </c>
      <c r="F55">
        <v>284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56</v>
      </c>
      <c r="N55">
        <v>0</v>
      </c>
      <c r="O55">
        <v>0</v>
      </c>
      <c r="P55">
        <v>0</v>
      </c>
      <c r="Q55">
        <v>83</v>
      </c>
      <c r="R55">
        <v>420</v>
      </c>
      <c r="S55">
        <v>0</v>
      </c>
      <c r="T55">
        <v>0</v>
      </c>
    </row>
    <row r="56" spans="1:152">
      <c r="A56">
        <v>0</v>
      </c>
      <c r="B56">
        <v>62</v>
      </c>
      <c r="C56">
        <v>0</v>
      </c>
      <c r="D56">
        <v>247</v>
      </c>
      <c r="E56">
        <v>29</v>
      </c>
      <c r="F56">
        <v>0</v>
      </c>
      <c r="G56">
        <v>0</v>
      </c>
      <c r="H56">
        <v>0</v>
      </c>
      <c r="I56">
        <v>426</v>
      </c>
      <c r="J56">
        <v>0</v>
      </c>
      <c r="K56">
        <v>0</v>
      </c>
      <c r="L56">
        <v>0</v>
      </c>
      <c r="M56">
        <v>0</v>
      </c>
      <c r="N56">
        <v>64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152">
      <c r="A57">
        <v>0</v>
      </c>
      <c r="B57">
        <v>27</v>
      </c>
      <c r="C57">
        <v>0</v>
      </c>
      <c r="D57">
        <v>52</v>
      </c>
      <c r="E57">
        <v>42</v>
      </c>
      <c r="F57">
        <v>130</v>
      </c>
      <c r="G57">
        <v>0</v>
      </c>
      <c r="H57">
        <v>137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13</v>
      </c>
      <c r="P57">
        <v>0</v>
      </c>
      <c r="Q57">
        <v>0</v>
      </c>
      <c r="R57">
        <v>0</v>
      </c>
      <c r="S57">
        <v>29</v>
      </c>
      <c r="T57">
        <v>0</v>
      </c>
    </row>
    <row r="58" spans="1:152">
      <c r="A58">
        <v>0</v>
      </c>
      <c r="B58">
        <v>0</v>
      </c>
      <c r="C58">
        <v>0</v>
      </c>
      <c r="D58">
        <v>0</v>
      </c>
      <c r="E58">
        <v>31</v>
      </c>
      <c r="F58">
        <v>0</v>
      </c>
      <c r="G58">
        <v>0</v>
      </c>
      <c r="H58">
        <v>707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76</v>
      </c>
      <c r="Q58">
        <v>80</v>
      </c>
      <c r="R58">
        <v>0</v>
      </c>
      <c r="S58">
        <v>0</v>
      </c>
      <c r="T58">
        <v>0</v>
      </c>
      <c r="CL58">
        <v>47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621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H58">
        <v>4023200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53157600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C58">
        <v>4039200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53173600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</row>
    <row r="59" spans="1:152">
      <c r="A59">
        <v>0</v>
      </c>
      <c r="B59">
        <v>34</v>
      </c>
      <c r="C59">
        <v>0</v>
      </c>
      <c r="D59">
        <v>0</v>
      </c>
      <c r="E59">
        <v>10</v>
      </c>
      <c r="F59">
        <v>0</v>
      </c>
      <c r="G59">
        <v>137</v>
      </c>
      <c r="H59">
        <v>0</v>
      </c>
      <c r="I59">
        <v>0</v>
      </c>
      <c r="J59">
        <v>0</v>
      </c>
      <c r="K59">
        <v>0</v>
      </c>
      <c r="L59">
        <v>0</v>
      </c>
      <c r="M59">
        <v>83</v>
      </c>
      <c r="N59">
        <v>0</v>
      </c>
      <c r="O59">
        <v>0</v>
      </c>
      <c r="P59">
        <v>80</v>
      </c>
      <c r="Q59">
        <v>8</v>
      </c>
      <c r="R59">
        <v>0</v>
      </c>
      <c r="S59">
        <v>0</v>
      </c>
      <c r="T59">
        <v>0</v>
      </c>
      <c r="X59">
        <v>1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T59" s="50">
        <v>37.1614434039816</v>
      </c>
      <c r="AU59" s="50">
        <v>0</v>
      </c>
      <c r="AV59" s="50">
        <v>0</v>
      </c>
      <c r="AW59" s="50">
        <v>0</v>
      </c>
      <c r="AX59" s="50">
        <v>0</v>
      </c>
      <c r="AY59" s="50">
        <v>0</v>
      </c>
      <c r="AZ59" s="50">
        <v>0</v>
      </c>
      <c r="BA59" s="50">
        <v>607.73855659601895</v>
      </c>
      <c r="BB59" s="50">
        <v>0</v>
      </c>
      <c r="BC59" s="50">
        <v>0</v>
      </c>
      <c r="BD59" s="50">
        <v>0</v>
      </c>
      <c r="BE59" s="50">
        <v>0</v>
      </c>
      <c r="BF59" s="50">
        <v>0</v>
      </c>
      <c r="BG59" s="50">
        <v>0</v>
      </c>
      <c r="BH59" s="50">
        <v>0</v>
      </c>
      <c r="BI59" s="50">
        <v>0</v>
      </c>
      <c r="BJ59" s="50">
        <v>0</v>
      </c>
      <c r="BK59" s="50">
        <v>0</v>
      </c>
      <c r="BL59" s="50">
        <v>0</v>
      </c>
      <c r="BM59" s="50">
        <v>0</v>
      </c>
      <c r="BP59">
        <v>47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621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L59" s="60">
        <v>0</v>
      </c>
      <c r="CM59" s="60">
        <v>60</v>
      </c>
      <c r="CN59" s="60">
        <v>0</v>
      </c>
      <c r="CO59" s="60">
        <v>0</v>
      </c>
      <c r="CP59" s="60">
        <v>0</v>
      </c>
      <c r="CQ59" s="60">
        <v>0</v>
      </c>
      <c r="CR59" s="60">
        <v>0</v>
      </c>
      <c r="CS59" s="60">
        <v>0</v>
      </c>
      <c r="CT59" s="60">
        <v>0</v>
      </c>
      <c r="CU59" s="60">
        <v>0</v>
      </c>
      <c r="CV59" s="60">
        <v>70</v>
      </c>
      <c r="CW59" s="60">
        <v>501</v>
      </c>
      <c r="CX59" s="60">
        <v>0</v>
      </c>
      <c r="CY59" s="60">
        <v>62</v>
      </c>
      <c r="CZ59" s="60">
        <v>27</v>
      </c>
      <c r="DA59" s="60">
        <v>0</v>
      </c>
      <c r="DB59" s="60">
        <v>20</v>
      </c>
      <c r="DC59" s="60">
        <v>79</v>
      </c>
      <c r="DD59" s="60">
        <v>0</v>
      </c>
      <c r="DE59" s="60">
        <v>0</v>
      </c>
      <c r="DH59">
        <v>0</v>
      </c>
      <c r="DI59">
        <v>5136000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5992000</v>
      </c>
      <c r="DS59">
        <v>42885600</v>
      </c>
      <c r="DT59">
        <v>0</v>
      </c>
      <c r="DU59">
        <v>5307200</v>
      </c>
      <c r="DV59">
        <v>2311200</v>
      </c>
      <c r="DW59">
        <v>0</v>
      </c>
      <c r="DX59">
        <v>1712000</v>
      </c>
      <c r="DY59">
        <v>6762400</v>
      </c>
      <c r="DZ59">
        <v>0</v>
      </c>
      <c r="EA59">
        <v>0</v>
      </c>
      <c r="EC59">
        <v>0</v>
      </c>
      <c r="ED59">
        <v>5152000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6008000</v>
      </c>
      <c r="EN59">
        <v>42901600</v>
      </c>
      <c r="EO59">
        <v>0</v>
      </c>
      <c r="EP59">
        <v>5323200</v>
      </c>
      <c r="EQ59">
        <v>2327200</v>
      </c>
      <c r="ER59">
        <v>0</v>
      </c>
      <c r="ES59">
        <v>1728000</v>
      </c>
      <c r="ET59">
        <v>6778400</v>
      </c>
      <c r="EU59">
        <v>0</v>
      </c>
      <c r="EV59">
        <v>0</v>
      </c>
    </row>
    <row r="60" spans="1:152">
      <c r="A60">
        <v>0</v>
      </c>
      <c r="B60">
        <v>79</v>
      </c>
      <c r="C60">
        <v>427</v>
      </c>
      <c r="D60">
        <v>0</v>
      </c>
      <c r="E60">
        <v>0</v>
      </c>
      <c r="F60">
        <v>0</v>
      </c>
      <c r="G60">
        <v>0</v>
      </c>
      <c r="H60">
        <v>0</v>
      </c>
      <c r="I60">
        <v>67</v>
      </c>
      <c r="J60">
        <v>0</v>
      </c>
      <c r="K60">
        <v>0</v>
      </c>
      <c r="L60">
        <v>0</v>
      </c>
      <c r="M60">
        <v>540</v>
      </c>
      <c r="N60">
        <v>0</v>
      </c>
      <c r="O60">
        <v>0</v>
      </c>
      <c r="P60">
        <v>0</v>
      </c>
      <c r="Q60">
        <v>0</v>
      </c>
      <c r="R60">
        <v>14</v>
      </c>
      <c r="S60">
        <v>0</v>
      </c>
      <c r="T60">
        <v>0</v>
      </c>
      <c r="X60">
        <v>12</v>
      </c>
      <c r="Y60">
        <v>2</v>
      </c>
      <c r="Z60">
        <v>12</v>
      </c>
      <c r="AA60">
        <v>12</v>
      </c>
      <c r="AB60">
        <v>12</v>
      </c>
      <c r="AC60">
        <v>12</v>
      </c>
      <c r="AD60">
        <v>12</v>
      </c>
      <c r="AE60">
        <v>12</v>
      </c>
      <c r="AF60">
        <v>12</v>
      </c>
      <c r="AG60">
        <v>12</v>
      </c>
      <c r="AH60">
        <v>11</v>
      </c>
      <c r="AI60">
        <v>12</v>
      </c>
      <c r="AJ60">
        <v>18</v>
      </c>
      <c r="AK60">
        <v>14</v>
      </c>
      <c r="AL60">
        <v>15</v>
      </c>
      <c r="AM60">
        <v>12</v>
      </c>
      <c r="AN60">
        <v>17</v>
      </c>
      <c r="AO60">
        <v>18</v>
      </c>
      <c r="AP60">
        <v>12</v>
      </c>
      <c r="AQ60">
        <v>12</v>
      </c>
      <c r="AT60" s="50">
        <v>0</v>
      </c>
      <c r="AU60" s="50">
        <v>49.433364308945997</v>
      </c>
      <c r="AV60" s="50">
        <v>0</v>
      </c>
      <c r="AW60" s="50">
        <v>0</v>
      </c>
      <c r="AX60" s="50">
        <v>0</v>
      </c>
      <c r="AY60" s="50">
        <v>0</v>
      </c>
      <c r="AZ60" s="50">
        <v>0</v>
      </c>
      <c r="BA60" s="50">
        <v>0</v>
      </c>
      <c r="BB60" s="50">
        <v>0</v>
      </c>
      <c r="BC60" s="50">
        <v>0</v>
      </c>
      <c r="BD60" s="50">
        <v>58.365663533364298</v>
      </c>
      <c r="BE60" s="50">
        <v>487.10938024947302</v>
      </c>
      <c r="BF60" s="50">
        <v>0</v>
      </c>
      <c r="BG60" s="50">
        <v>51.0018335179956</v>
      </c>
      <c r="BH60" s="50">
        <v>18.449451374245001</v>
      </c>
      <c r="BI60" s="50">
        <v>0</v>
      </c>
      <c r="BJ60" s="50">
        <v>12.547753672397199</v>
      </c>
      <c r="BK60" s="50">
        <v>66.892553343579095</v>
      </c>
      <c r="BL60" s="50">
        <v>0</v>
      </c>
      <c r="BM60" s="50">
        <v>0</v>
      </c>
      <c r="BP60">
        <v>0</v>
      </c>
      <c r="BQ60">
        <v>60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70</v>
      </c>
      <c r="CA60">
        <v>501</v>
      </c>
      <c r="CB60">
        <v>0</v>
      </c>
      <c r="CC60">
        <v>62</v>
      </c>
      <c r="CD60">
        <v>27</v>
      </c>
      <c r="CE60">
        <v>0</v>
      </c>
      <c r="CF60">
        <v>20</v>
      </c>
      <c r="CG60">
        <v>79</v>
      </c>
      <c r="CH60">
        <v>0</v>
      </c>
      <c r="CI60">
        <v>0</v>
      </c>
      <c r="CL60" s="60">
        <v>0</v>
      </c>
      <c r="CM60" s="60">
        <v>0</v>
      </c>
      <c r="CN60" s="60">
        <v>17</v>
      </c>
      <c r="CO60" s="60">
        <v>925</v>
      </c>
      <c r="CP60" s="60">
        <v>201</v>
      </c>
      <c r="CQ60" s="60">
        <v>0</v>
      </c>
      <c r="CR60" s="60">
        <v>0</v>
      </c>
      <c r="CS60" s="60">
        <v>0</v>
      </c>
      <c r="CT60" s="60">
        <v>0</v>
      </c>
      <c r="CU60" s="60">
        <v>1679</v>
      </c>
      <c r="CV60" s="60">
        <v>0</v>
      </c>
      <c r="CW60" s="60">
        <v>0</v>
      </c>
      <c r="CX60" s="60">
        <v>0</v>
      </c>
      <c r="CY60" s="60">
        <v>0</v>
      </c>
      <c r="CZ60" s="60">
        <v>0</v>
      </c>
      <c r="DA60" s="60">
        <v>0</v>
      </c>
      <c r="DB60" s="60">
        <v>0</v>
      </c>
      <c r="DC60" s="60">
        <v>602</v>
      </c>
      <c r="DD60" s="60">
        <v>761</v>
      </c>
      <c r="DE60" s="60">
        <v>0</v>
      </c>
      <c r="DH60">
        <v>0</v>
      </c>
      <c r="DI60">
        <v>0</v>
      </c>
      <c r="DJ60">
        <v>1455200</v>
      </c>
      <c r="DK60">
        <v>79180000</v>
      </c>
      <c r="DL60">
        <v>17205600</v>
      </c>
      <c r="DM60">
        <v>0</v>
      </c>
      <c r="DN60">
        <v>0</v>
      </c>
      <c r="DO60">
        <v>0</v>
      </c>
      <c r="DP60">
        <v>0</v>
      </c>
      <c r="DQ60">
        <v>143722400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51531200</v>
      </c>
      <c r="DZ60">
        <v>65141600</v>
      </c>
      <c r="EA60">
        <v>0</v>
      </c>
      <c r="EC60">
        <v>0</v>
      </c>
      <c r="ED60">
        <v>0</v>
      </c>
      <c r="EE60">
        <v>1471200</v>
      </c>
      <c r="EF60">
        <v>79196000</v>
      </c>
      <c r="EG60">
        <v>17221600</v>
      </c>
      <c r="EH60">
        <v>0</v>
      </c>
      <c r="EI60">
        <v>0</v>
      </c>
      <c r="EJ60">
        <v>0</v>
      </c>
      <c r="EK60">
        <v>0</v>
      </c>
      <c r="EL60">
        <v>143738400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51547200</v>
      </c>
      <c r="EU60">
        <v>65157600</v>
      </c>
      <c r="EV60">
        <v>0</v>
      </c>
    </row>
    <row r="61" spans="1:152">
      <c r="A61">
        <v>0</v>
      </c>
      <c r="B61">
        <v>0</v>
      </c>
      <c r="C61">
        <v>668</v>
      </c>
      <c r="D61">
        <v>0</v>
      </c>
      <c r="E61">
        <v>0</v>
      </c>
      <c r="F61">
        <v>0</v>
      </c>
      <c r="G61">
        <v>0</v>
      </c>
      <c r="H61">
        <v>0</v>
      </c>
      <c r="I61">
        <v>107</v>
      </c>
      <c r="J61">
        <v>0</v>
      </c>
      <c r="K61">
        <v>0</v>
      </c>
      <c r="L61">
        <v>0</v>
      </c>
      <c r="M61">
        <v>0</v>
      </c>
      <c r="N61">
        <v>0</v>
      </c>
      <c r="O61">
        <v>29</v>
      </c>
      <c r="P61">
        <v>0</v>
      </c>
      <c r="Q61">
        <v>0</v>
      </c>
      <c r="R61">
        <v>0</v>
      </c>
      <c r="S61">
        <v>73</v>
      </c>
      <c r="T61">
        <v>0</v>
      </c>
      <c r="X61">
        <v>10</v>
      </c>
      <c r="Y61">
        <v>10</v>
      </c>
      <c r="Z61">
        <v>3</v>
      </c>
      <c r="AA61">
        <v>4</v>
      </c>
      <c r="AB61">
        <v>5</v>
      </c>
      <c r="AC61">
        <v>10</v>
      </c>
      <c r="AD61">
        <v>10</v>
      </c>
      <c r="AE61">
        <v>10</v>
      </c>
      <c r="AF61">
        <v>10</v>
      </c>
      <c r="AG61">
        <v>10</v>
      </c>
      <c r="AH61">
        <v>10</v>
      </c>
      <c r="AI61">
        <v>10</v>
      </c>
      <c r="AJ61">
        <v>18</v>
      </c>
      <c r="AK61">
        <v>4</v>
      </c>
      <c r="AL61">
        <v>10</v>
      </c>
      <c r="AM61">
        <v>10</v>
      </c>
      <c r="AN61">
        <v>10</v>
      </c>
      <c r="AO61">
        <v>18</v>
      </c>
      <c r="AP61">
        <v>19</v>
      </c>
      <c r="AQ61">
        <v>10</v>
      </c>
      <c r="AT61" s="50">
        <v>0</v>
      </c>
      <c r="AU61" s="50">
        <v>0</v>
      </c>
      <c r="AV61" s="50">
        <v>10.1657752242754</v>
      </c>
      <c r="AW61" s="50">
        <v>915.35686765073797</v>
      </c>
      <c r="AX61" s="50">
        <v>186.75094088423501</v>
      </c>
      <c r="AY61" s="50">
        <v>0</v>
      </c>
      <c r="AZ61" s="50">
        <v>0</v>
      </c>
      <c r="BA61" s="50">
        <v>0</v>
      </c>
      <c r="BB61" s="50">
        <v>0</v>
      </c>
      <c r="BC61" s="50">
        <v>1680.9623172736699</v>
      </c>
      <c r="BD61" s="50">
        <v>0</v>
      </c>
      <c r="BE61" s="50">
        <v>0</v>
      </c>
      <c r="BF61" s="50">
        <v>0</v>
      </c>
      <c r="BG61" s="50">
        <v>0</v>
      </c>
      <c r="BH61" s="50">
        <v>0</v>
      </c>
      <c r="BI61" s="50">
        <v>0</v>
      </c>
      <c r="BJ61" s="50">
        <v>0</v>
      </c>
      <c r="BK61" s="50">
        <v>589.01571803852903</v>
      </c>
      <c r="BL61" s="50">
        <v>749.34539833446502</v>
      </c>
      <c r="BM61" s="50">
        <v>0</v>
      </c>
      <c r="BP61">
        <v>0</v>
      </c>
      <c r="BQ61">
        <v>0</v>
      </c>
      <c r="BR61">
        <v>17</v>
      </c>
      <c r="BS61">
        <v>379</v>
      </c>
      <c r="BT61">
        <v>201</v>
      </c>
      <c r="BU61">
        <v>0</v>
      </c>
      <c r="BV61">
        <v>0</v>
      </c>
      <c r="BW61">
        <v>0</v>
      </c>
      <c r="BX61">
        <v>0</v>
      </c>
      <c r="BY61">
        <v>244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602</v>
      </c>
      <c r="CH61">
        <v>528</v>
      </c>
      <c r="CI61">
        <v>0</v>
      </c>
      <c r="CL61" s="60">
        <v>0</v>
      </c>
      <c r="CM61" s="60">
        <v>0</v>
      </c>
      <c r="CN61" s="60">
        <v>925</v>
      </c>
      <c r="CO61" s="60">
        <v>90</v>
      </c>
      <c r="CP61" s="60">
        <v>0</v>
      </c>
      <c r="CQ61" s="60">
        <v>0</v>
      </c>
      <c r="CR61" s="60">
        <v>0</v>
      </c>
      <c r="CS61" s="60">
        <v>0</v>
      </c>
      <c r="CT61" s="60">
        <v>0</v>
      </c>
      <c r="CU61" s="60">
        <v>0</v>
      </c>
      <c r="CV61" s="60">
        <v>0</v>
      </c>
      <c r="CW61" s="60">
        <v>0</v>
      </c>
      <c r="CX61" s="60">
        <v>0</v>
      </c>
      <c r="CY61" s="60">
        <v>247</v>
      </c>
      <c r="CZ61" s="60">
        <v>52</v>
      </c>
      <c r="DA61" s="60">
        <v>0</v>
      </c>
      <c r="DB61" s="60">
        <v>0</v>
      </c>
      <c r="DC61" s="60">
        <v>0</v>
      </c>
      <c r="DD61" s="60">
        <v>0</v>
      </c>
      <c r="DE61" s="60">
        <v>0</v>
      </c>
      <c r="DH61">
        <v>0</v>
      </c>
      <c r="DI61">
        <v>0</v>
      </c>
      <c r="DJ61">
        <v>79180000</v>
      </c>
      <c r="DK61">
        <v>7704000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21143200</v>
      </c>
      <c r="DV61">
        <v>4451200</v>
      </c>
      <c r="DW61">
        <v>0</v>
      </c>
      <c r="DX61">
        <v>0</v>
      </c>
      <c r="DY61">
        <v>0</v>
      </c>
      <c r="DZ61">
        <v>0</v>
      </c>
      <c r="EA61">
        <v>0</v>
      </c>
      <c r="EC61">
        <v>0</v>
      </c>
      <c r="ED61">
        <v>0</v>
      </c>
      <c r="EE61">
        <v>79196000</v>
      </c>
      <c r="EF61">
        <v>7720000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21159200</v>
      </c>
      <c r="EQ61">
        <v>4467200</v>
      </c>
      <c r="ER61">
        <v>0</v>
      </c>
      <c r="ES61">
        <v>0</v>
      </c>
      <c r="ET61">
        <v>0</v>
      </c>
      <c r="EU61">
        <v>0</v>
      </c>
      <c r="EV61">
        <v>0</v>
      </c>
    </row>
    <row r="62" spans="1:152">
      <c r="A62">
        <v>0</v>
      </c>
      <c r="B62">
        <v>0</v>
      </c>
      <c r="C62">
        <v>0</v>
      </c>
      <c r="D62">
        <v>0</v>
      </c>
      <c r="E62">
        <v>0</v>
      </c>
      <c r="F62">
        <v>282</v>
      </c>
      <c r="G62">
        <v>454</v>
      </c>
      <c r="H62">
        <v>0</v>
      </c>
      <c r="I62">
        <v>589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  <c r="X62">
        <v>3</v>
      </c>
      <c r="Y62">
        <v>3</v>
      </c>
      <c r="Z62">
        <v>3</v>
      </c>
      <c r="AA62">
        <v>4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14</v>
      </c>
      <c r="AL62">
        <v>15</v>
      </c>
      <c r="AM62">
        <v>3</v>
      </c>
      <c r="AN62">
        <v>3</v>
      </c>
      <c r="AO62">
        <v>3</v>
      </c>
      <c r="AP62">
        <v>3</v>
      </c>
      <c r="AQ62">
        <v>3</v>
      </c>
      <c r="AT62" s="50">
        <v>0</v>
      </c>
      <c r="AU62" s="50">
        <v>0</v>
      </c>
      <c r="AV62" s="50">
        <v>915.35686765073797</v>
      </c>
      <c r="AW62" s="50">
        <v>77.347667893777498</v>
      </c>
      <c r="AX62" s="50">
        <v>0</v>
      </c>
      <c r="AY62" s="50">
        <v>0</v>
      </c>
      <c r="AZ62" s="50">
        <v>0</v>
      </c>
      <c r="BA62" s="50">
        <v>0</v>
      </c>
      <c r="BB62" s="50">
        <v>0</v>
      </c>
      <c r="BC62" s="50">
        <v>0</v>
      </c>
      <c r="BD62" s="50">
        <v>0</v>
      </c>
      <c r="BE62" s="50">
        <v>0</v>
      </c>
      <c r="BF62" s="50">
        <v>0</v>
      </c>
      <c r="BG62" s="50">
        <v>232.01102970084699</v>
      </c>
      <c r="BH62" s="50">
        <v>42.112770292004697</v>
      </c>
      <c r="BI62" s="50">
        <v>0</v>
      </c>
      <c r="BJ62" s="50">
        <v>0</v>
      </c>
      <c r="BK62" s="50">
        <v>0</v>
      </c>
      <c r="BL62" s="50">
        <v>0</v>
      </c>
      <c r="BM62" s="50">
        <v>0</v>
      </c>
      <c r="BP62">
        <v>0</v>
      </c>
      <c r="BQ62">
        <v>0</v>
      </c>
      <c r="BR62">
        <v>379</v>
      </c>
      <c r="BS62">
        <v>90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247</v>
      </c>
      <c r="CD62">
        <v>52</v>
      </c>
      <c r="CE62">
        <v>0</v>
      </c>
      <c r="CF62">
        <v>0</v>
      </c>
      <c r="CG62">
        <v>0</v>
      </c>
      <c r="CH62">
        <v>0</v>
      </c>
      <c r="CI62">
        <v>0</v>
      </c>
      <c r="CL62" s="60">
        <v>0</v>
      </c>
      <c r="CM62" s="60">
        <v>0</v>
      </c>
      <c r="CN62" s="60">
        <v>201</v>
      </c>
      <c r="CO62" s="60">
        <v>0</v>
      </c>
      <c r="CP62" s="60">
        <v>14</v>
      </c>
      <c r="CQ62" s="60">
        <v>0</v>
      </c>
      <c r="CR62" s="60">
        <v>32</v>
      </c>
      <c r="CS62" s="60">
        <v>0</v>
      </c>
      <c r="CT62" s="60">
        <v>0</v>
      </c>
      <c r="CU62" s="60">
        <v>0</v>
      </c>
      <c r="CV62" s="60">
        <v>0</v>
      </c>
      <c r="CW62" s="60">
        <v>0</v>
      </c>
      <c r="CX62" s="60">
        <v>0</v>
      </c>
      <c r="CY62" s="60">
        <v>29</v>
      </c>
      <c r="CZ62" s="60">
        <v>42</v>
      </c>
      <c r="DA62" s="60">
        <v>31</v>
      </c>
      <c r="DB62" s="60">
        <v>10</v>
      </c>
      <c r="DC62" s="60">
        <v>0</v>
      </c>
      <c r="DD62" s="60">
        <v>0</v>
      </c>
      <c r="DE62" s="60">
        <v>0</v>
      </c>
      <c r="DH62">
        <v>0</v>
      </c>
      <c r="DI62">
        <v>0</v>
      </c>
      <c r="DJ62">
        <v>17205600</v>
      </c>
      <c r="DK62">
        <v>0</v>
      </c>
      <c r="DL62">
        <v>1198400</v>
      </c>
      <c r="DM62">
        <v>0</v>
      </c>
      <c r="DN62">
        <v>2739200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2482400</v>
      </c>
      <c r="DV62">
        <v>3595200</v>
      </c>
      <c r="DW62">
        <v>2653600</v>
      </c>
      <c r="DX62">
        <v>856000</v>
      </c>
      <c r="DY62">
        <v>0</v>
      </c>
      <c r="DZ62">
        <v>0</v>
      </c>
      <c r="EA62">
        <v>0</v>
      </c>
      <c r="EC62">
        <v>0</v>
      </c>
      <c r="ED62">
        <v>0</v>
      </c>
      <c r="EE62">
        <v>17221600</v>
      </c>
      <c r="EF62">
        <v>0</v>
      </c>
      <c r="EG62">
        <v>1214400</v>
      </c>
      <c r="EH62">
        <v>0</v>
      </c>
      <c r="EI62">
        <v>2755200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2498400</v>
      </c>
      <c r="EQ62">
        <v>3611200</v>
      </c>
      <c r="ER62">
        <v>2669600</v>
      </c>
      <c r="ES62">
        <v>872000</v>
      </c>
      <c r="ET62">
        <v>0</v>
      </c>
      <c r="EU62">
        <v>0</v>
      </c>
      <c r="EV62">
        <v>0</v>
      </c>
    </row>
    <row r="63" spans="1:152">
      <c r="X63">
        <v>3</v>
      </c>
      <c r="Y63">
        <v>3</v>
      </c>
      <c r="Z63">
        <v>3</v>
      </c>
      <c r="AA63">
        <v>3</v>
      </c>
      <c r="AB63">
        <v>5</v>
      </c>
      <c r="AC63">
        <v>15</v>
      </c>
      <c r="AD63">
        <v>7</v>
      </c>
      <c r="AE63">
        <v>3</v>
      </c>
      <c r="AF63">
        <v>3</v>
      </c>
      <c r="AG63">
        <v>3</v>
      </c>
      <c r="AH63">
        <v>3</v>
      </c>
      <c r="AI63">
        <v>3</v>
      </c>
      <c r="AJ63">
        <v>3</v>
      </c>
      <c r="AK63">
        <v>14</v>
      </c>
      <c r="AL63">
        <v>15</v>
      </c>
      <c r="AM63">
        <v>16</v>
      </c>
      <c r="AN63">
        <v>17</v>
      </c>
      <c r="AO63">
        <v>3</v>
      </c>
      <c r="AP63">
        <v>3</v>
      </c>
      <c r="AQ63">
        <v>7</v>
      </c>
      <c r="AT63" s="50">
        <v>0</v>
      </c>
      <c r="AU63" s="50">
        <v>0</v>
      </c>
      <c r="AV63" s="50">
        <v>186.75094088423501</v>
      </c>
      <c r="AW63" s="50">
        <v>0</v>
      </c>
      <c r="AX63" s="50">
        <v>8.0042612316380204</v>
      </c>
      <c r="AY63" s="50">
        <v>0</v>
      </c>
      <c r="AZ63" s="50">
        <v>23.6169832731692</v>
      </c>
      <c r="BA63" s="50">
        <v>0</v>
      </c>
      <c r="BB63" s="50">
        <v>0</v>
      </c>
      <c r="BC63" s="50">
        <v>0</v>
      </c>
      <c r="BD63" s="50">
        <v>0</v>
      </c>
      <c r="BE63" s="50">
        <v>0</v>
      </c>
      <c r="BF63" s="50">
        <v>0</v>
      </c>
      <c r="BG63" s="50">
        <v>20.522786732906798</v>
      </c>
      <c r="BH63" s="50">
        <v>32.602722577647498</v>
      </c>
      <c r="BI63" s="50">
        <v>22.7531755959827</v>
      </c>
      <c r="BJ63" s="50">
        <v>5.04912970442117</v>
      </c>
      <c r="BK63" s="50">
        <v>0</v>
      </c>
      <c r="BL63" s="50">
        <v>0</v>
      </c>
      <c r="BM63" s="50">
        <v>0</v>
      </c>
      <c r="BP63">
        <v>0</v>
      </c>
      <c r="BQ63">
        <v>0</v>
      </c>
      <c r="BR63">
        <v>201</v>
      </c>
      <c r="BS63">
        <v>0</v>
      </c>
      <c r="BT63">
        <v>14</v>
      </c>
      <c r="BU63">
        <v>0</v>
      </c>
      <c r="BV63">
        <v>32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29</v>
      </c>
      <c r="CD63">
        <v>42</v>
      </c>
      <c r="CE63">
        <v>31</v>
      </c>
      <c r="CF63">
        <v>10</v>
      </c>
      <c r="CG63">
        <v>0</v>
      </c>
      <c r="CH63">
        <v>0</v>
      </c>
      <c r="CI63">
        <v>0</v>
      </c>
      <c r="CL63" s="60">
        <v>0</v>
      </c>
      <c r="CM63" s="60">
        <v>0</v>
      </c>
      <c r="CN63" s="60">
        <v>0</v>
      </c>
      <c r="CO63" s="60">
        <v>0</v>
      </c>
      <c r="CP63" s="60">
        <v>0</v>
      </c>
      <c r="CQ63" s="60">
        <v>91</v>
      </c>
      <c r="CR63" s="60">
        <v>0</v>
      </c>
      <c r="CS63" s="60">
        <v>0</v>
      </c>
      <c r="CT63" s="60">
        <v>0</v>
      </c>
      <c r="CU63" s="60">
        <v>739</v>
      </c>
      <c r="CV63" s="60">
        <v>0</v>
      </c>
      <c r="CW63" s="60">
        <v>0</v>
      </c>
      <c r="CX63" s="60">
        <v>203</v>
      </c>
      <c r="CY63" s="60">
        <v>0</v>
      </c>
      <c r="CZ63" s="60">
        <v>130</v>
      </c>
      <c r="DA63" s="60">
        <v>0</v>
      </c>
      <c r="DB63" s="60">
        <v>0</v>
      </c>
      <c r="DC63" s="60">
        <v>0</v>
      </c>
      <c r="DD63" s="60">
        <v>0</v>
      </c>
      <c r="DE63" s="60">
        <v>282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7789600</v>
      </c>
      <c r="DN63">
        <v>0</v>
      </c>
      <c r="DO63">
        <v>0</v>
      </c>
      <c r="DP63">
        <v>0</v>
      </c>
      <c r="DQ63">
        <v>63258400</v>
      </c>
      <c r="DR63">
        <v>0</v>
      </c>
      <c r="DS63">
        <v>0</v>
      </c>
      <c r="DT63">
        <v>17376800</v>
      </c>
      <c r="DU63">
        <v>0</v>
      </c>
      <c r="DV63">
        <v>11128000</v>
      </c>
      <c r="DW63">
        <v>0</v>
      </c>
      <c r="DX63">
        <v>0</v>
      </c>
      <c r="DY63">
        <v>0</v>
      </c>
      <c r="DZ63">
        <v>0</v>
      </c>
      <c r="EA63">
        <v>24139200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7805600</v>
      </c>
      <c r="EI63">
        <v>0</v>
      </c>
      <c r="EJ63">
        <v>0</v>
      </c>
      <c r="EK63">
        <v>0</v>
      </c>
      <c r="EL63">
        <v>63274400</v>
      </c>
      <c r="EM63">
        <v>0</v>
      </c>
      <c r="EN63">
        <v>0</v>
      </c>
      <c r="EO63">
        <v>17392800</v>
      </c>
      <c r="EP63">
        <v>0</v>
      </c>
      <c r="EQ63">
        <v>11144000</v>
      </c>
      <c r="ER63">
        <v>0</v>
      </c>
      <c r="ES63">
        <v>0</v>
      </c>
      <c r="ET63">
        <v>0</v>
      </c>
      <c r="EU63">
        <v>0</v>
      </c>
      <c r="EV63">
        <v>24155200</v>
      </c>
    </row>
    <row r="64" spans="1:152">
      <c r="A64">
        <v>4023200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53157600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X64">
        <v>10</v>
      </c>
      <c r="Y64">
        <v>10</v>
      </c>
      <c r="Z64">
        <v>10</v>
      </c>
      <c r="AA64">
        <v>10</v>
      </c>
      <c r="AB64">
        <v>15</v>
      </c>
      <c r="AC64">
        <v>6</v>
      </c>
      <c r="AD64">
        <v>20</v>
      </c>
      <c r="AE64">
        <v>10</v>
      </c>
      <c r="AF64">
        <v>10</v>
      </c>
      <c r="AG64">
        <v>10</v>
      </c>
      <c r="AH64">
        <v>10</v>
      </c>
      <c r="AI64">
        <v>10</v>
      </c>
      <c r="AJ64">
        <v>13</v>
      </c>
      <c r="AK64">
        <v>10</v>
      </c>
      <c r="AL64">
        <v>15</v>
      </c>
      <c r="AM64">
        <v>10</v>
      </c>
      <c r="AN64">
        <v>20</v>
      </c>
      <c r="AO64">
        <v>13</v>
      </c>
      <c r="AP64">
        <v>10</v>
      </c>
      <c r="AQ64">
        <v>20</v>
      </c>
      <c r="AT64" s="50">
        <v>0</v>
      </c>
      <c r="AU64" s="50">
        <v>0</v>
      </c>
      <c r="AV64" s="50">
        <v>0</v>
      </c>
      <c r="AW64" s="50">
        <v>0</v>
      </c>
      <c r="AX64" s="50">
        <v>0</v>
      </c>
      <c r="AY64" s="50">
        <v>79.204246935201397</v>
      </c>
      <c r="AZ64" s="50">
        <v>0</v>
      </c>
      <c r="BA64" s="50">
        <v>0</v>
      </c>
      <c r="BB64" s="50">
        <v>0</v>
      </c>
      <c r="BC64" s="50">
        <v>727.33061224489802</v>
      </c>
      <c r="BD64" s="50">
        <v>0</v>
      </c>
      <c r="BE64" s="50">
        <v>0</v>
      </c>
      <c r="BF64" s="50">
        <v>189.058249043926</v>
      </c>
      <c r="BG64" s="50">
        <v>0</v>
      </c>
      <c r="BH64" s="50">
        <v>117.08374763215301</v>
      </c>
      <c r="BI64" s="50">
        <v>0</v>
      </c>
      <c r="BJ64" s="50">
        <v>0</v>
      </c>
      <c r="BK64" s="50">
        <v>0</v>
      </c>
      <c r="BL64" s="50">
        <v>0</v>
      </c>
      <c r="BM64" s="50">
        <v>267.59741591908198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91</v>
      </c>
      <c r="BV64">
        <v>0</v>
      </c>
      <c r="BW64">
        <v>0</v>
      </c>
      <c r="BX64">
        <v>0</v>
      </c>
      <c r="BY64">
        <v>585</v>
      </c>
      <c r="BZ64">
        <v>0</v>
      </c>
      <c r="CA64">
        <v>0</v>
      </c>
      <c r="CB64">
        <v>203</v>
      </c>
      <c r="CC64">
        <v>0</v>
      </c>
      <c r="CD64">
        <v>130</v>
      </c>
      <c r="CE64">
        <v>0</v>
      </c>
      <c r="CF64">
        <v>0</v>
      </c>
      <c r="CG64">
        <v>0</v>
      </c>
      <c r="CH64">
        <v>0</v>
      </c>
      <c r="CI64">
        <v>282</v>
      </c>
      <c r="CL64" s="60">
        <v>0</v>
      </c>
      <c r="CM64" s="60">
        <v>0</v>
      </c>
      <c r="CN64" s="60">
        <v>0</v>
      </c>
      <c r="CO64" s="60">
        <v>0</v>
      </c>
      <c r="CP64" s="60">
        <v>32</v>
      </c>
      <c r="CQ64" s="60">
        <v>0</v>
      </c>
      <c r="CR64" s="60">
        <v>53</v>
      </c>
      <c r="CS64" s="60">
        <v>0</v>
      </c>
      <c r="CT64" s="60">
        <v>0</v>
      </c>
      <c r="CU64" s="60">
        <v>321</v>
      </c>
      <c r="CV64" s="60">
        <v>0</v>
      </c>
      <c r="CW64" s="60">
        <v>0</v>
      </c>
      <c r="CX64" s="60">
        <v>0</v>
      </c>
      <c r="CY64" s="60">
        <v>0</v>
      </c>
      <c r="CZ64" s="60">
        <v>0</v>
      </c>
      <c r="DA64" s="60">
        <v>0</v>
      </c>
      <c r="DB64" s="60">
        <v>150</v>
      </c>
      <c r="DC64" s="60">
        <v>0</v>
      </c>
      <c r="DD64" s="60">
        <v>0</v>
      </c>
      <c r="DE64" s="60">
        <v>454</v>
      </c>
      <c r="DH64">
        <v>0</v>
      </c>
      <c r="DI64">
        <v>0</v>
      </c>
      <c r="DJ64">
        <v>0</v>
      </c>
      <c r="DK64">
        <v>0</v>
      </c>
      <c r="DL64">
        <v>2739200</v>
      </c>
      <c r="DM64">
        <v>0</v>
      </c>
      <c r="DN64">
        <v>4536800</v>
      </c>
      <c r="DO64">
        <v>0</v>
      </c>
      <c r="DP64">
        <v>0</v>
      </c>
      <c r="DQ64">
        <v>27477600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12840000</v>
      </c>
      <c r="DY64">
        <v>0</v>
      </c>
      <c r="DZ64">
        <v>0</v>
      </c>
      <c r="EA64">
        <v>38862400</v>
      </c>
      <c r="EC64">
        <v>0</v>
      </c>
      <c r="ED64">
        <v>0</v>
      </c>
      <c r="EE64">
        <v>0</v>
      </c>
      <c r="EF64">
        <v>0</v>
      </c>
      <c r="EG64">
        <v>2755200</v>
      </c>
      <c r="EH64">
        <v>0</v>
      </c>
      <c r="EI64">
        <v>4552800</v>
      </c>
      <c r="EJ64">
        <v>0</v>
      </c>
      <c r="EK64">
        <v>0</v>
      </c>
      <c r="EL64">
        <v>27493600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12856000</v>
      </c>
      <c r="ET64">
        <v>0</v>
      </c>
      <c r="EU64">
        <v>0</v>
      </c>
      <c r="EV64">
        <v>38878400</v>
      </c>
    </row>
    <row r="65" spans="1:152">
      <c r="A65">
        <v>0</v>
      </c>
      <c r="B65">
        <v>5136000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13353600</v>
      </c>
      <c r="L65">
        <v>35780800</v>
      </c>
      <c r="M65">
        <v>0</v>
      </c>
      <c r="N65">
        <v>18318400</v>
      </c>
      <c r="O65">
        <v>2311200</v>
      </c>
      <c r="P65">
        <v>0</v>
      </c>
      <c r="Q65">
        <v>1712000</v>
      </c>
      <c r="R65">
        <v>6762400</v>
      </c>
      <c r="S65">
        <v>0</v>
      </c>
      <c r="T65">
        <v>0</v>
      </c>
      <c r="X65">
        <v>20</v>
      </c>
      <c r="Y65">
        <v>10</v>
      </c>
      <c r="Z65">
        <v>10</v>
      </c>
      <c r="AA65">
        <v>10</v>
      </c>
      <c r="AB65">
        <v>5</v>
      </c>
      <c r="AC65">
        <v>20</v>
      </c>
      <c r="AD65">
        <v>7</v>
      </c>
      <c r="AE65">
        <v>20</v>
      </c>
      <c r="AF65">
        <v>20</v>
      </c>
      <c r="AG65">
        <v>10</v>
      </c>
      <c r="AH65">
        <v>10</v>
      </c>
      <c r="AI65">
        <v>10</v>
      </c>
      <c r="AJ65">
        <v>20</v>
      </c>
      <c r="AK65">
        <v>20</v>
      </c>
      <c r="AL65">
        <v>20</v>
      </c>
      <c r="AM65">
        <v>20</v>
      </c>
      <c r="AN65">
        <v>17</v>
      </c>
      <c r="AO65">
        <v>20</v>
      </c>
      <c r="AP65">
        <v>10</v>
      </c>
      <c r="AQ65">
        <v>20</v>
      </c>
      <c r="AT65" s="50">
        <v>0</v>
      </c>
      <c r="AU65" s="50">
        <v>0</v>
      </c>
      <c r="AV65" s="50">
        <v>0</v>
      </c>
      <c r="AW65" s="50">
        <v>0</v>
      </c>
      <c r="AX65" s="50">
        <v>23.6169832731692</v>
      </c>
      <c r="AY65" s="50">
        <v>0</v>
      </c>
      <c r="AZ65" s="50">
        <v>42.134894921190899</v>
      </c>
      <c r="BA65" s="50">
        <v>0</v>
      </c>
      <c r="BB65" s="50">
        <v>0</v>
      </c>
      <c r="BC65" s="50">
        <v>305.80237052789602</v>
      </c>
      <c r="BD65" s="50">
        <v>0</v>
      </c>
      <c r="BE65" s="50">
        <v>0</v>
      </c>
      <c r="BF65" s="50">
        <v>0</v>
      </c>
      <c r="BG65" s="50">
        <v>0</v>
      </c>
      <c r="BH65" s="50">
        <v>0</v>
      </c>
      <c r="BI65" s="50">
        <v>0</v>
      </c>
      <c r="BJ65" s="50">
        <v>136.685828657207</v>
      </c>
      <c r="BK65" s="50">
        <v>0</v>
      </c>
      <c r="BL65" s="50">
        <v>0</v>
      </c>
      <c r="BM65" s="50">
        <v>439.16736034168503</v>
      </c>
      <c r="BP65">
        <v>0</v>
      </c>
      <c r="BQ65">
        <v>0</v>
      </c>
      <c r="BR65">
        <v>0</v>
      </c>
      <c r="BS65">
        <v>0</v>
      </c>
      <c r="BT65">
        <v>32</v>
      </c>
      <c r="BU65">
        <v>0</v>
      </c>
      <c r="BV65">
        <v>53</v>
      </c>
      <c r="BW65">
        <v>0</v>
      </c>
      <c r="BX65">
        <v>0</v>
      </c>
      <c r="BY65">
        <v>321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150</v>
      </c>
      <c r="CG65">
        <v>0</v>
      </c>
      <c r="CH65">
        <v>0</v>
      </c>
      <c r="CI65">
        <v>454</v>
      </c>
      <c r="CL65" s="60">
        <v>621</v>
      </c>
      <c r="CM65" s="60">
        <v>0</v>
      </c>
      <c r="CN65" s="60">
        <v>0</v>
      </c>
      <c r="CO65" s="60">
        <v>0</v>
      </c>
      <c r="CP65" s="60">
        <v>0</v>
      </c>
      <c r="CQ65" s="60">
        <v>0</v>
      </c>
      <c r="CR65" s="60">
        <v>0</v>
      </c>
      <c r="CS65" s="60">
        <v>81</v>
      </c>
      <c r="CT65" s="60">
        <v>1750</v>
      </c>
      <c r="CU65" s="60">
        <v>0</v>
      </c>
      <c r="CV65" s="60">
        <v>0</v>
      </c>
      <c r="CW65" s="60">
        <v>0</v>
      </c>
      <c r="CX65" s="60">
        <v>0</v>
      </c>
      <c r="CY65" s="60">
        <v>0</v>
      </c>
      <c r="CZ65" s="60">
        <v>103</v>
      </c>
      <c r="DA65" s="60">
        <v>707</v>
      </c>
      <c r="DB65" s="60">
        <v>0</v>
      </c>
      <c r="DC65" s="60">
        <v>0</v>
      </c>
      <c r="DD65" s="60">
        <v>0</v>
      </c>
      <c r="DE65" s="60">
        <v>0</v>
      </c>
      <c r="DH65">
        <v>53157600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6933600</v>
      </c>
      <c r="DP65">
        <v>149800000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8816800</v>
      </c>
      <c r="DW65">
        <v>60519200</v>
      </c>
      <c r="DX65">
        <v>0</v>
      </c>
      <c r="DY65">
        <v>0</v>
      </c>
      <c r="DZ65">
        <v>0</v>
      </c>
      <c r="EA65">
        <v>0</v>
      </c>
      <c r="EC65">
        <v>53173600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6949600</v>
      </c>
      <c r="EK65">
        <v>149816000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8832800</v>
      </c>
      <c r="ER65">
        <v>60535200</v>
      </c>
      <c r="ES65">
        <v>0</v>
      </c>
      <c r="ET65">
        <v>0</v>
      </c>
      <c r="EU65">
        <v>0</v>
      </c>
      <c r="EV65">
        <v>0</v>
      </c>
    </row>
    <row r="66" spans="1:152">
      <c r="A66">
        <v>19944800</v>
      </c>
      <c r="B66">
        <v>0</v>
      </c>
      <c r="C66">
        <v>1455200</v>
      </c>
      <c r="D66">
        <v>32442400</v>
      </c>
      <c r="E66">
        <v>17205600</v>
      </c>
      <c r="F66">
        <v>0</v>
      </c>
      <c r="G66">
        <v>0</v>
      </c>
      <c r="H66">
        <v>0</v>
      </c>
      <c r="I66">
        <v>0</v>
      </c>
      <c r="J66">
        <v>28504800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51531200</v>
      </c>
      <c r="S66">
        <v>45196800</v>
      </c>
      <c r="T66">
        <v>0</v>
      </c>
      <c r="X66">
        <v>1</v>
      </c>
      <c r="Y66">
        <v>9</v>
      </c>
      <c r="Z66">
        <v>9</v>
      </c>
      <c r="AA66">
        <v>9</v>
      </c>
      <c r="AB66">
        <v>9</v>
      </c>
      <c r="AC66">
        <v>9</v>
      </c>
      <c r="AD66">
        <v>9</v>
      </c>
      <c r="AE66">
        <v>8</v>
      </c>
      <c r="AF66">
        <v>9</v>
      </c>
      <c r="AG66">
        <v>9</v>
      </c>
      <c r="AH66">
        <v>9</v>
      </c>
      <c r="AI66">
        <v>9</v>
      </c>
      <c r="AJ66">
        <v>9</v>
      </c>
      <c r="AK66">
        <v>9</v>
      </c>
      <c r="AL66">
        <v>15</v>
      </c>
      <c r="AM66">
        <v>16</v>
      </c>
      <c r="AN66">
        <v>9</v>
      </c>
      <c r="AO66">
        <v>9</v>
      </c>
      <c r="AP66">
        <v>9</v>
      </c>
      <c r="AQ66">
        <v>9</v>
      </c>
      <c r="AT66" s="50">
        <v>607.73855659601895</v>
      </c>
      <c r="AU66" s="50">
        <v>0</v>
      </c>
      <c r="AV66" s="50">
        <v>0</v>
      </c>
      <c r="AW66" s="50">
        <v>0</v>
      </c>
      <c r="AX66" s="50">
        <v>0</v>
      </c>
      <c r="AY66" s="50">
        <v>0</v>
      </c>
      <c r="AZ66" s="50">
        <v>0</v>
      </c>
      <c r="BA66" s="50">
        <v>69.179028021015796</v>
      </c>
      <c r="BB66" s="50">
        <v>1752.5388434182801</v>
      </c>
      <c r="BC66" s="50">
        <v>0</v>
      </c>
      <c r="BD66" s="50">
        <v>0</v>
      </c>
      <c r="BE66" s="50">
        <v>0</v>
      </c>
      <c r="BF66" s="50">
        <v>0</v>
      </c>
      <c r="BG66" s="50">
        <v>0</v>
      </c>
      <c r="BH66" s="50">
        <v>90.190978948497104</v>
      </c>
      <c r="BI66" s="50">
        <v>694.97913792487202</v>
      </c>
      <c r="BJ66" s="50">
        <v>0</v>
      </c>
      <c r="BK66" s="50">
        <v>0</v>
      </c>
      <c r="BL66" s="50">
        <v>0</v>
      </c>
      <c r="BM66" s="50">
        <v>0</v>
      </c>
      <c r="BP66">
        <v>621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81</v>
      </c>
      <c r="BX66">
        <v>239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103</v>
      </c>
      <c r="CE66">
        <v>707</v>
      </c>
      <c r="CF66">
        <v>0</v>
      </c>
      <c r="CG66">
        <v>0</v>
      </c>
      <c r="CH66">
        <v>0</v>
      </c>
      <c r="CI66">
        <v>0</v>
      </c>
      <c r="CL66" s="60">
        <v>0</v>
      </c>
      <c r="CM66" s="60">
        <v>0</v>
      </c>
      <c r="CN66" s="60">
        <v>0</v>
      </c>
      <c r="CO66" s="60">
        <v>0</v>
      </c>
      <c r="CP66" s="60">
        <v>0</v>
      </c>
      <c r="CQ66" s="60">
        <v>0</v>
      </c>
      <c r="CR66" s="60">
        <v>0</v>
      </c>
      <c r="CS66" s="60">
        <v>1750</v>
      </c>
      <c r="CT66" s="60">
        <v>20</v>
      </c>
      <c r="CU66" s="60">
        <v>0</v>
      </c>
      <c r="CV66" s="60">
        <v>313</v>
      </c>
      <c r="CW66" s="60">
        <v>1355</v>
      </c>
      <c r="CX66" s="60">
        <v>0</v>
      </c>
      <c r="CY66" s="60">
        <v>426</v>
      </c>
      <c r="CZ66" s="60">
        <v>0</v>
      </c>
      <c r="DA66" s="60">
        <v>0</v>
      </c>
      <c r="DB66" s="60">
        <v>0</v>
      </c>
      <c r="DC66" s="60">
        <v>0</v>
      </c>
      <c r="DD66" s="60">
        <v>0</v>
      </c>
      <c r="DE66" s="60">
        <v>338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149800000</v>
      </c>
      <c r="DP66">
        <v>1712000</v>
      </c>
      <c r="DQ66">
        <v>0</v>
      </c>
      <c r="DR66">
        <v>26792800</v>
      </c>
      <c r="DS66">
        <v>115988000</v>
      </c>
      <c r="DT66">
        <v>0</v>
      </c>
      <c r="DU66">
        <v>36465600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28932800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149816000</v>
      </c>
      <c r="EK66">
        <v>1728000</v>
      </c>
      <c r="EL66">
        <v>0</v>
      </c>
      <c r="EM66">
        <v>26808800</v>
      </c>
      <c r="EN66">
        <v>116004000</v>
      </c>
      <c r="EO66">
        <v>0</v>
      </c>
      <c r="EP66">
        <v>36481600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28948800</v>
      </c>
    </row>
    <row r="67" spans="1:152">
      <c r="A67">
        <v>0</v>
      </c>
      <c r="B67">
        <v>0</v>
      </c>
      <c r="C67">
        <v>46994400</v>
      </c>
      <c r="D67">
        <v>7704000</v>
      </c>
      <c r="E67">
        <v>0</v>
      </c>
      <c r="F67">
        <v>0</v>
      </c>
      <c r="G67">
        <v>0</v>
      </c>
      <c r="H67">
        <v>16264000</v>
      </c>
      <c r="I67">
        <v>0</v>
      </c>
      <c r="J67">
        <v>0</v>
      </c>
      <c r="K67">
        <v>0</v>
      </c>
      <c r="L67">
        <v>0</v>
      </c>
      <c r="M67">
        <v>0</v>
      </c>
      <c r="N67">
        <v>21143200</v>
      </c>
      <c r="O67">
        <v>4451200</v>
      </c>
      <c r="P67">
        <v>0</v>
      </c>
      <c r="Q67">
        <v>0</v>
      </c>
      <c r="R67">
        <v>0</v>
      </c>
      <c r="S67">
        <v>0</v>
      </c>
      <c r="T67">
        <v>0</v>
      </c>
      <c r="X67">
        <v>8</v>
      </c>
      <c r="Y67">
        <v>12</v>
      </c>
      <c r="Z67">
        <v>12</v>
      </c>
      <c r="AA67">
        <v>12</v>
      </c>
      <c r="AB67">
        <v>12</v>
      </c>
      <c r="AC67">
        <v>12</v>
      </c>
      <c r="AD67">
        <v>20</v>
      </c>
      <c r="AE67">
        <v>8</v>
      </c>
      <c r="AF67">
        <v>9</v>
      </c>
      <c r="AG67">
        <v>12</v>
      </c>
      <c r="AH67">
        <v>11</v>
      </c>
      <c r="AI67">
        <v>12</v>
      </c>
      <c r="AJ67">
        <v>12</v>
      </c>
      <c r="AK67">
        <v>14</v>
      </c>
      <c r="AL67">
        <v>8</v>
      </c>
      <c r="AM67">
        <v>8</v>
      </c>
      <c r="AN67">
        <v>20</v>
      </c>
      <c r="AO67">
        <v>12</v>
      </c>
      <c r="AP67">
        <v>12</v>
      </c>
      <c r="AQ67">
        <v>20</v>
      </c>
      <c r="AT67" s="50">
        <v>0</v>
      </c>
      <c r="AU67" s="50">
        <v>0</v>
      </c>
      <c r="AV67" s="50">
        <v>0</v>
      </c>
      <c r="AW67" s="50">
        <v>0</v>
      </c>
      <c r="AX67" s="50">
        <v>0</v>
      </c>
      <c r="AY67" s="50">
        <v>0</v>
      </c>
      <c r="AZ67" s="50">
        <v>0</v>
      </c>
      <c r="BA67" s="50">
        <v>1752.5388434182801</v>
      </c>
      <c r="BB67" s="50">
        <v>13.0591952893241</v>
      </c>
      <c r="BC67" s="50">
        <v>0</v>
      </c>
      <c r="BD67" s="50">
        <v>298.411914292863</v>
      </c>
      <c r="BE67" s="50">
        <v>1351.8428249758699</v>
      </c>
      <c r="BF67" s="50">
        <v>0</v>
      </c>
      <c r="BG67" s="50">
        <v>411.24428142535498</v>
      </c>
      <c r="BH67" s="50">
        <v>0</v>
      </c>
      <c r="BI67" s="50">
        <v>0</v>
      </c>
      <c r="BJ67" s="50">
        <v>0</v>
      </c>
      <c r="BK67" s="50">
        <v>0</v>
      </c>
      <c r="BL67" s="50">
        <v>0</v>
      </c>
      <c r="BM67" s="50">
        <v>323.29050627256203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239</v>
      </c>
      <c r="BX67">
        <v>20</v>
      </c>
      <c r="BY67">
        <v>0</v>
      </c>
      <c r="BZ67">
        <v>313</v>
      </c>
      <c r="CA67">
        <v>276</v>
      </c>
      <c r="CB67">
        <v>0</v>
      </c>
      <c r="CC67">
        <v>426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338</v>
      </c>
      <c r="CL67" s="60">
        <v>0</v>
      </c>
      <c r="CM67" s="60">
        <v>0</v>
      </c>
      <c r="CN67" s="60">
        <v>1679</v>
      </c>
      <c r="CO67" s="60">
        <v>0</v>
      </c>
      <c r="CP67" s="60">
        <v>0</v>
      </c>
      <c r="CQ67" s="60">
        <v>739</v>
      </c>
      <c r="CR67" s="60">
        <v>321</v>
      </c>
      <c r="CS67" s="60">
        <v>0</v>
      </c>
      <c r="CT67" s="60">
        <v>0</v>
      </c>
      <c r="CU67" s="60">
        <v>10</v>
      </c>
      <c r="CV67" s="60">
        <v>0</v>
      </c>
      <c r="CW67" s="60">
        <v>1928</v>
      </c>
      <c r="CX67" s="60">
        <v>0</v>
      </c>
      <c r="CY67" s="60">
        <v>0</v>
      </c>
      <c r="CZ67" s="60">
        <v>0</v>
      </c>
      <c r="DA67" s="60">
        <v>0</v>
      </c>
      <c r="DB67" s="60">
        <v>0</v>
      </c>
      <c r="DC67" s="60">
        <v>0</v>
      </c>
      <c r="DD67" s="60">
        <v>0</v>
      </c>
      <c r="DE67" s="60">
        <v>0</v>
      </c>
      <c r="DH67">
        <v>0</v>
      </c>
      <c r="DI67">
        <v>0</v>
      </c>
      <c r="DJ67">
        <v>143722400</v>
      </c>
      <c r="DK67">
        <v>0</v>
      </c>
      <c r="DL67">
        <v>0</v>
      </c>
      <c r="DM67">
        <v>63258400</v>
      </c>
      <c r="DN67">
        <v>27477600</v>
      </c>
      <c r="DO67">
        <v>0</v>
      </c>
      <c r="DP67">
        <v>0</v>
      </c>
      <c r="DQ67">
        <v>856000</v>
      </c>
      <c r="DR67">
        <v>0</v>
      </c>
      <c r="DS67">
        <v>165036800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C67">
        <v>0</v>
      </c>
      <c r="ED67">
        <v>0</v>
      </c>
      <c r="EE67">
        <v>143738400</v>
      </c>
      <c r="EF67">
        <v>0</v>
      </c>
      <c r="EG67">
        <v>0</v>
      </c>
      <c r="EH67">
        <v>63274400</v>
      </c>
      <c r="EI67">
        <v>27493600</v>
      </c>
      <c r="EJ67">
        <v>0</v>
      </c>
      <c r="EK67">
        <v>0</v>
      </c>
      <c r="EL67">
        <v>872000</v>
      </c>
      <c r="EM67">
        <v>0</v>
      </c>
      <c r="EN67">
        <v>165052800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</row>
    <row r="68" spans="1:152">
      <c r="A68">
        <v>0</v>
      </c>
      <c r="B68">
        <v>0</v>
      </c>
      <c r="C68">
        <v>14295200</v>
      </c>
      <c r="D68">
        <v>0</v>
      </c>
      <c r="E68">
        <v>1198400</v>
      </c>
      <c r="F68">
        <v>0</v>
      </c>
      <c r="G68">
        <v>2739200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2482400</v>
      </c>
      <c r="O68">
        <v>6676800</v>
      </c>
      <c r="P68">
        <v>2653600</v>
      </c>
      <c r="Q68">
        <v>856000</v>
      </c>
      <c r="R68">
        <v>0</v>
      </c>
      <c r="S68">
        <v>0</v>
      </c>
      <c r="T68">
        <v>0</v>
      </c>
      <c r="X68">
        <v>12</v>
      </c>
      <c r="Y68">
        <v>12</v>
      </c>
      <c r="Z68">
        <v>3</v>
      </c>
      <c r="AA68">
        <v>3</v>
      </c>
      <c r="AB68">
        <v>3</v>
      </c>
      <c r="AC68">
        <v>6</v>
      </c>
      <c r="AD68">
        <v>7</v>
      </c>
      <c r="AE68">
        <v>12</v>
      </c>
      <c r="AF68">
        <v>12</v>
      </c>
      <c r="AG68">
        <v>10</v>
      </c>
      <c r="AH68">
        <v>12</v>
      </c>
      <c r="AI68">
        <v>12</v>
      </c>
      <c r="AJ68">
        <v>3</v>
      </c>
      <c r="AK68">
        <v>12</v>
      </c>
      <c r="AL68">
        <v>6</v>
      </c>
      <c r="AM68">
        <v>12</v>
      </c>
      <c r="AN68">
        <v>7</v>
      </c>
      <c r="AO68">
        <v>3</v>
      </c>
      <c r="AP68">
        <v>3</v>
      </c>
      <c r="AQ68">
        <v>6</v>
      </c>
      <c r="AT68" s="50">
        <v>0</v>
      </c>
      <c r="AU68" s="50">
        <v>0</v>
      </c>
      <c r="AV68" s="50">
        <v>1680.9623172736699</v>
      </c>
      <c r="AW68" s="50">
        <v>0</v>
      </c>
      <c r="AX68" s="50">
        <v>0</v>
      </c>
      <c r="AY68" s="50">
        <v>727.33061224489802</v>
      </c>
      <c r="AZ68" s="50">
        <v>305.80237052789602</v>
      </c>
      <c r="BA68" s="50">
        <v>0</v>
      </c>
      <c r="BB68" s="50">
        <v>0</v>
      </c>
      <c r="BC68" s="50">
        <v>4.4274956217162904</v>
      </c>
      <c r="BD68" s="50">
        <v>0</v>
      </c>
      <c r="BE68" s="50">
        <v>1933.525147432</v>
      </c>
      <c r="BF68" s="50">
        <v>0</v>
      </c>
      <c r="BG68" s="50">
        <v>0</v>
      </c>
      <c r="BH68" s="50">
        <v>0</v>
      </c>
      <c r="BI68" s="50">
        <v>0</v>
      </c>
      <c r="BJ68" s="50">
        <v>0</v>
      </c>
      <c r="BK68" s="50">
        <v>0</v>
      </c>
      <c r="BL68" s="50">
        <v>0</v>
      </c>
      <c r="BM68" s="50">
        <v>0</v>
      </c>
      <c r="BP68">
        <v>0</v>
      </c>
      <c r="BQ68">
        <v>0</v>
      </c>
      <c r="BR68">
        <v>244</v>
      </c>
      <c r="BS68">
        <v>0</v>
      </c>
      <c r="BT68">
        <v>0</v>
      </c>
      <c r="BU68">
        <v>585</v>
      </c>
      <c r="BV68">
        <v>321</v>
      </c>
      <c r="BW68">
        <v>0</v>
      </c>
      <c r="BX68">
        <v>0</v>
      </c>
      <c r="BY68">
        <v>10</v>
      </c>
      <c r="BZ68">
        <v>0</v>
      </c>
      <c r="CA68">
        <v>228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L68" s="60">
        <v>0</v>
      </c>
      <c r="CM68" s="60">
        <v>70</v>
      </c>
      <c r="CN68" s="60">
        <v>0</v>
      </c>
      <c r="CO68" s="60">
        <v>0</v>
      </c>
      <c r="CP68" s="60">
        <v>0</v>
      </c>
      <c r="CQ68" s="60">
        <v>0</v>
      </c>
      <c r="CR68" s="60">
        <v>0</v>
      </c>
      <c r="CS68" s="60">
        <v>0</v>
      </c>
      <c r="CT68" s="60">
        <v>313</v>
      </c>
      <c r="CU68" s="60">
        <v>0</v>
      </c>
      <c r="CV68" s="60">
        <v>81</v>
      </c>
      <c r="CW68" s="60">
        <v>467</v>
      </c>
      <c r="CX68" s="60">
        <v>0</v>
      </c>
      <c r="CY68" s="60">
        <v>0</v>
      </c>
      <c r="CZ68" s="60">
        <v>0</v>
      </c>
      <c r="DA68" s="60">
        <v>0</v>
      </c>
      <c r="DB68" s="60">
        <v>0</v>
      </c>
      <c r="DC68" s="60">
        <v>0</v>
      </c>
      <c r="DD68" s="60">
        <v>0</v>
      </c>
      <c r="DE68" s="60">
        <v>0</v>
      </c>
      <c r="DH68">
        <v>0</v>
      </c>
      <c r="DI68">
        <v>5992000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26792800</v>
      </c>
      <c r="DQ68">
        <v>0</v>
      </c>
      <c r="DR68">
        <v>6933600</v>
      </c>
      <c r="DS68">
        <v>39975200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C68">
        <v>0</v>
      </c>
      <c r="ED68">
        <v>6008000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26808800</v>
      </c>
      <c r="EL68">
        <v>0</v>
      </c>
      <c r="EM68">
        <v>6949600</v>
      </c>
      <c r="EN68">
        <v>39991200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</row>
    <row r="69" spans="1:152">
      <c r="A69">
        <v>0</v>
      </c>
      <c r="B69">
        <v>0</v>
      </c>
      <c r="C69">
        <v>0</v>
      </c>
      <c r="D69">
        <v>0</v>
      </c>
      <c r="E69">
        <v>0</v>
      </c>
      <c r="F69">
        <v>7789600</v>
      </c>
      <c r="G69">
        <v>0</v>
      </c>
      <c r="H69">
        <v>0</v>
      </c>
      <c r="I69">
        <v>0</v>
      </c>
      <c r="J69">
        <v>43570400</v>
      </c>
      <c r="K69">
        <v>0</v>
      </c>
      <c r="L69">
        <v>0</v>
      </c>
      <c r="M69">
        <v>17376800</v>
      </c>
      <c r="N69">
        <v>0</v>
      </c>
      <c r="O69">
        <v>11128000</v>
      </c>
      <c r="P69">
        <v>0</v>
      </c>
      <c r="Q69">
        <v>0</v>
      </c>
      <c r="R69">
        <v>0</v>
      </c>
      <c r="S69">
        <v>0</v>
      </c>
      <c r="T69">
        <v>50760800</v>
      </c>
      <c r="X69">
        <v>9</v>
      </c>
      <c r="Y69">
        <v>2</v>
      </c>
      <c r="Z69">
        <v>12</v>
      </c>
      <c r="AA69">
        <v>12</v>
      </c>
      <c r="AB69">
        <v>12</v>
      </c>
      <c r="AC69">
        <v>12</v>
      </c>
      <c r="AD69">
        <v>12</v>
      </c>
      <c r="AE69">
        <v>9</v>
      </c>
      <c r="AF69">
        <v>9</v>
      </c>
      <c r="AG69">
        <v>12</v>
      </c>
      <c r="AH69">
        <v>11</v>
      </c>
      <c r="AI69">
        <v>12</v>
      </c>
      <c r="AJ69">
        <v>12</v>
      </c>
      <c r="AK69">
        <v>9</v>
      </c>
      <c r="AL69">
        <v>9</v>
      </c>
      <c r="AM69">
        <v>9</v>
      </c>
      <c r="AN69">
        <v>12</v>
      </c>
      <c r="AO69">
        <v>12</v>
      </c>
      <c r="AP69">
        <v>12</v>
      </c>
      <c r="AQ69">
        <v>12</v>
      </c>
      <c r="AT69" s="50">
        <v>0</v>
      </c>
      <c r="AU69" s="50">
        <v>58.365663533364298</v>
      </c>
      <c r="AV69" s="50">
        <v>0</v>
      </c>
      <c r="AW69" s="50">
        <v>0</v>
      </c>
      <c r="AX69" s="50">
        <v>0</v>
      </c>
      <c r="AY69" s="50">
        <v>0</v>
      </c>
      <c r="AZ69" s="50">
        <v>0</v>
      </c>
      <c r="BA69" s="50">
        <v>0</v>
      </c>
      <c r="BB69" s="50">
        <v>298.411914292863</v>
      </c>
      <c r="BC69" s="50">
        <v>0</v>
      </c>
      <c r="BD69" s="50">
        <v>68.911973265663505</v>
      </c>
      <c r="BE69" s="50">
        <v>452.51044890810999</v>
      </c>
      <c r="BF69" s="50">
        <v>0</v>
      </c>
      <c r="BG69" s="50">
        <v>0</v>
      </c>
      <c r="BH69" s="50">
        <v>0</v>
      </c>
      <c r="BI69" s="50">
        <v>0</v>
      </c>
      <c r="BJ69" s="50">
        <v>0</v>
      </c>
      <c r="BK69" s="50">
        <v>0</v>
      </c>
      <c r="BL69" s="50">
        <v>0</v>
      </c>
      <c r="BM69" s="50">
        <v>0</v>
      </c>
      <c r="BP69">
        <v>0</v>
      </c>
      <c r="BQ69">
        <v>70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313</v>
      </c>
      <c r="BY69">
        <v>0</v>
      </c>
      <c r="BZ69">
        <v>81</v>
      </c>
      <c r="CA69">
        <v>467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L69" s="60">
        <v>0</v>
      </c>
      <c r="CM69" s="60">
        <v>501</v>
      </c>
      <c r="CN69" s="60">
        <v>0</v>
      </c>
      <c r="CO69" s="60">
        <v>0</v>
      </c>
      <c r="CP69" s="60">
        <v>0</v>
      </c>
      <c r="CQ69" s="60">
        <v>0</v>
      </c>
      <c r="CR69" s="60">
        <v>0</v>
      </c>
      <c r="CS69" s="60">
        <v>0</v>
      </c>
      <c r="CT69" s="60">
        <v>1355</v>
      </c>
      <c r="CU69" s="60">
        <v>1928</v>
      </c>
      <c r="CV69" s="60">
        <v>467</v>
      </c>
      <c r="CW69" s="60">
        <v>5</v>
      </c>
      <c r="CX69" s="60">
        <v>0</v>
      </c>
      <c r="CY69" s="60">
        <v>0</v>
      </c>
      <c r="CZ69" s="60">
        <v>0</v>
      </c>
      <c r="DA69" s="60">
        <v>0</v>
      </c>
      <c r="DB69" s="60">
        <v>0</v>
      </c>
      <c r="DC69" s="60">
        <v>0</v>
      </c>
      <c r="DD69" s="60">
        <v>0</v>
      </c>
      <c r="DE69" s="60">
        <v>0</v>
      </c>
      <c r="DH69">
        <v>0</v>
      </c>
      <c r="DI69">
        <v>42885600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115988000</v>
      </c>
      <c r="DQ69">
        <v>165036800</v>
      </c>
      <c r="DR69">
        <v>39975200</v>
      </c>
      <c r="DS69">
        <v>428000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C69">
        <v>0</v>
      </c>
      <c r="ED69">
        <v>42901600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116004000</v>
      </c>
      <c r="EL69">
        <v>165052800</v>
      </c>
      <c r="EM69">
        <v>39991200</v>
      </c>
      <c r="EN69">
        <v>444000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</row>
    <row r="70" spans="1:152">
      <c r="A70">
        <v>0</v>
      </c>
      <c r="B70">
        <v>0</v>
      </c>
      <c r="C70">
        <v>0</v>
      </c>
      <c r="D70">
        <v>0</v>
      </c>
      <c r="E70">
        <v>2739200</v>
      </c>
      <c r="F70">
        <v>0</v>
      </c>
      <c r="G70">
        <v>4536800</v>
      </c>
      <c r="H70">
        <v>0</v>
      </c>
      <c r="I70">
        <v>0</v>
      </c>
      <c r="J70">
        <v>31500800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12840000</v>
      </c>
      <c r="R70">
        <v>0</v>
      </c>
      <c r="S70">
        <v>0</v>
      </c>
      <c r="T70">
        <v>33726400</v>
      </c>
      <c r="X70">
        <v>9</v>
      </c>
      <c r="Y70">
        <v>2</v>
      </c>
      <c r="Z70">
        <v>10</v>
      </c>
      <c r="AA70">
        <v>10</v>
      </c>
      <c r="AB70">
        <v>10</v>
      </c>
      <c r="AC70">
        <v>10</v>
      </c>
      <c r="AD70">
        <v>10</v>
      </c>
      <c r="AE70">
        <v>9</v>
      </c>
      <c r="AF70">
        <v>9</v>
      </c>
      <c r="AG70">
        <v>10</v>
      </c>
      <c r="AH70">
        <v>11</v>
      </c>
      <c r="AI70">
        <v>12</v>
      </c>
      <c r="AJ70">
        <v>10</v>
      </c>
      <c r="AK70">
        <v>9</v>
      </c>
      <c r="AL70">
        <v>10</v>
      </c>
      <c r="AM70">
        <v>9</v>
      </c>
      <c r="AN70">
        <v>10</v>
      </c>
      <c r="AO70">
        <v>10</v>
      </c>
      <c r="AP70">
        <v>10</v>
      </c>
      <c r="AQ70">
        <v>10</v>
      </c>
      <c r="AT70" s="50">
        <v>0</v>
      </c>
      <c r="AU70" s="50">
        <v>487.10938024947302</v>
      </c>
      <c r="AV70" s="50">
        <v>0</v>
      </c>
      <c r="AW70" s="50">
        <v>0</v>
      </c>
      <c r="AX70" s="50">
        <v>0</v>
      </c>
      <c r="AY70" s="50">
        <v>0</v>
      </c>
      <c r="AZ70" s="50">
        <v>0</v>
      </c>
      <c r="BA70" s="50">
        <v>0</v>
      </c>
      <c r="BB70" s="50">
        <v>1351.8428249758699</v>
      </c>
      <c r="BC70" s="50">
        <v>1933.525147432</v>
      </c>
      <c r="BD70" s="50">
        <v>452.51044890810999</v>
      </c>
      <c r="BE70" s="50">
        <v>1.40508595732514</v>
      </c>
      <c r="BF70" s="50">
        <v>0</v>
      </c>
      <c r="BG70" s="50">
        <v>0</v>
      </c>
      <c r="BH70" s="50">
        <v>0</v>
      </c>
      <c r="BI70" s="50">
        <v>0</v>
      </c>
      <c r="BJ70" s="50">
        <v>0</v>
      </c>
      <c r="BK70" s="50">
        <v>0</v>
      </c>
      <c r="BL70" s="50">
        <v>0</v>
      </c>
      <c r="BM70" s="50">
        <v>0</v>
      </c>
      <c r="BP70">
        <v>0</v>
      </c>
      <c r="BQ70">
        <v>501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276</v>
      </c>
      <c r="BY70">
        <v>228</v>
      </c>
      <c r="BZ70">
        <v>467</v>
      </c>
      <c r="CA70">
        <v>5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L70" s="60">
        <v>0</v>
      </c>
      <c r="CM70" s="60">
        <v>0</v>
      </c>
      <c r="CN70" s="60">
        <v>0</v>
      </c>
      <c r="CO70" s="60">
        <v>0</v>
      </c>
      <c r="CP70" s="60">
        <v>0</v>
      </c>
      <c r="CQ70" s="60">
        <v>203</v>
      </c>
      <c r="CR70" s="60">
        <v>0</v>
      </c>
      <c r="CS70" s="60">
        <v>0</v>
      </c>
      <c r="CT70" s="60">
        <v>0</v>
      </c>
      <c r="CU70" s="60">
        <v>0</v>
      </c>
      <c r="CV70" s="60">
        <v>0</v>
      </c>
      <c r="CW70" s="60">
        <v>0</v>
      </c>
      <c r="CX70" s="60">
        <v>56</v>
      </c>
      <c r="CY70" s="60">
        <v>0</v>
      </c>
      <c r="CZ70" s="60">
        <v>0</v>
      </c>
      <c r="DA70" s="60">
        <v>0</v>
      </c>
      <c r="DB70" s="60">
        <v>83</v>
      </c>
      <c r="DC70" s="60">
        <v>540</v>
      </c>
      <c r="DD70" s="60">
        <v>0</v>
      </c>
      <c r="DE70" s="6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17376800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4793600</v>
      </c>
      <c r="DU70">
        <v>0</v>
      </c>
      <c r="DV70">
        <v>0</v>
      </c>
      <c r="DW70">
        <v>0</v>
      </c>
      <c r="DX70">
        <v>7104800</v>
      </c>
      <c r="DY70">
        <v>46224000</v>
      </c>
      <c r="DZ70">
        <v>0</v>
      </c>
      <c r="EA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17392800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4809600</v>
      </c>
      <c r="EP70">
        <v>0</v>
      </c>
      <c r="EQ70">
        <v>0</v>
      </c>
      <c r="ER70">
        <v>0</v>
      </c>
      <c r="ES70">
        <v>7120800</v>
      </c>
      <c r="ET70">
        <v>46240000</v>
      </c>
      <c r="EU70">
        <v>0</v>
      </c>
      <c r="EV70">
        <v>0</v>
      </c>
    </row>
    <row r="71" spans="1:152">
      <c r="A71">
        <v>31072800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6933600</v>
      </c>
      <c r="I71">
        <v>20201600</v>
      </c>
      <c r="J71">
        <v>0</v>
      </c>
      <c r="K71">
        <v>0</v>
      </c>
      <c r="L71">
        <v>0</v>
      </c>
      <c r="M71">
        <v>0</v>
      </c>
      <c r="N71">
        <v>0</v>
      </c>
      <c r="O71">
        <v>8816800</v>
      </c>
      <c r="P71">
        <v>45967200</v>
      </c>
      <c r="Q71">
        <v>0</v>
      </c>
      <c r="R71">
        <v>0</v>
      </c>
      <c r="S71">
        <v>0</v>
      </c>
      <c r="T71">
        <v>0</v>
      </c>
      <c r="X71">
        <v>18</v>
      </c>
      <c r="Y71">
        <v>18</v>
      </c>
      <c r="Z71">
        <v>18</v>
      </c>
      <c r="AA71">
        <v>18</v>
      </c>
      <c r="AB71">
        <v>18</v>
      </c>
      <c r="AC71">
        <v>6</v>
      </c>
      <c r="AD71">
        <v>6</v>
      </c>
      <c r="AE71">
        <v>18</v>
      </c>
      <c r="AF71">
        <v>18</v>
      </c>
      <c r="AG71">
        <v>18</v>
      </c>
      <c r="AH71">
        <v>18</v>
      </c>
      <c r="AI71">
        <v>18</v>
      </c>
      <c r="AJ71">
        <v>13</v>
      </c>
      <c r="AK71">
        <v>18</v>
      </c>
      <c r="AL71">
        <v>6</v>
      </c>
      <c r="AM71">
        <v>17</v>
      </c>
      <c r="AN71">
        <v>17</v>
      </c>
      <c r="AO71">
        <v>18</v>
      </c>
      <c r="AP71">
        <v>18</v>
      </c>
      <c r="AQ71">
        <v>6</v>
      </c>
      <c r="AT71" s="50">
        <v>0</v>
      </c>
      <c r="AU71" s="50">
        <v>0</v>
      </c>
      <c r="AV71" s="50">
        <v>0</v>
      </c>
      <c r="AW71" s="50">
        <v>0</v>
      </c>
      <c r="AX71" s="50">
        <v>0</v>
      </c>
      <c r="AY71" s="50">
        <v>189.058249043926</v>
      </c>
      <c r="AZ71" s="50">
        <v>0</v>
      </c>
      <c r="BA71" s="50">
        <v>0</v>
      </c>
      <c r="BB71" s="50">
        <v>0</v>
      </c>
      <c r="BC71" s="50">
        <v>0</v>
      </c>
      <c r="BD71" s="50">
        <v>0</v>
      </c>
      <c r="BE71" s="50">
        <v>0</v>
      </c>
      <c r="BF71" s="50">
        <v>45.144272490081903</v>
      </c>
      <c r="BG71" s="50">
        <v>0</v>
      </c>
      <c r="BH71" s="50">
        <v>0</v>
      </c>
      <c r="BI71" s="50">
        <v>0</v>
      </c>
      <c r="BJ71" s="50">
        <v>71.015390114014096</v>
      </c>
      <c r="BK71" s="50">
        <v>526.645868329819</v>
      </c>
      <c r="BL71" s="50">
        <v>0</v>
      </c>
      <c r="BM71" s="50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203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56</v>
      </c>
      <c r="CC71">
        <v>0</v>
      </c>
      <c r="CD71">
        <v>0</v>
      </c>
      <c r="CE71">
        <v>0</v>
      </c>
      <c r="CF71">
        <v>83</v>
      </c>
      <c r="CG71">
        <v>540</v>
      </c>
      <c r="CH71">
        <v>0</v>
      </c>
      <c r="CI71">
        <v>0</v>
      </c>
      <c r="CL71" s="60">
        <v>0</v>
      </c>
      <c r="CM71" s="60">
        <v>62</v>
      </c>
      <c r="CN71" s="60">
        <v>0</v>
      </c>
      <c r="CO71" s="60">
        <v>247</v>
      </c>
      <c r="CP71" s="60">
        <v>29</v>
      </c>
      <c r="CQ71" s="60">
        <v>0</v>
      </c>
      <c r="CR71" s="60">
        <v>0</v>
      </c>
      <c r="CS71" s="60">
        <v>0</v>
      </c>
      <c r="CT71" s="60">
        <v>426</v>
      </c>
      <c r="CU71" s="60">
        <v>0</v>
      </c>
      <c r="CV71" s="60">
        <v>0</v>
      </c>
      <c r="CW71" s="60">
        <v>0</v>
      </c>
      <c r="CX71" s="60">
        <v>0</v>
      </c>
      <c r="CY71" s="60">
        <v>64</v>
      </c>
      <c r="CZ71" s="60">
        <v>0</v>
      </c>
      <c r="DA71" s="60">
        <v>0</v>
      </c>
      <c r="DB71" s="60">
        <v>0</v>
      </c>
      <c r="DC71" s="60">
        <v>0</v>
      </c>
      <c r="DD71" s="60">
        <v>0</v>
      </c>
      <c r="DE71" s="60">
        <v>0</v>
      </c>
      <c r="DH71">
        <v>0</v>
      </c>
      <c r="DI71">
        <v>5307200</v>
      </c>
      <c r="DJ71">
        <v>0</v>
      </c>
      <c r="DK71">
        <v>21143200</v>
      </c>
      <c r="DL71">
        <v>2482400</v>
      </c>
      <c r="DM71">
        <v>0</v>
      </c>
      <c r="DN71">
        <v>0</v>
      </c>
      <c r="DO71">
        <v>0</v>
      </c>
      <c r="DP71">
        <v>36465600</v>
      </c>
      <c r="DQ71">
        <v>0</v>
      </c>
      <c r="DR71">
        <v>0</v>
      </c>
      <c r="DS71">
        <v>0</v>
      </c>
      <c r="DT71">
        <v>0</v>
      </c>
      <c r="DU71">
        <v>5478400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C71">
        <v>0</v>
      </c>
      <c r="ED71">
        <v>5323200</v>
      </c>
      <c r="EE71">
        <v>0</v>
      </c>
      <c r="EF71">
        <v>21159200</v>
      </c>
      <c r="EG71">
        <v>2498400</v>
      </c>
      <c r="EH71">
        <v>0</v>
      </c>
      <c r="EI71">
        <v>0</v>
      </c>
      <c r="EJ71">
        <v>0</v>
      </c>
      <c r="EK71">
        <v>36481600</v>
      </c>
      <c r="EL71">
        <v>0</v>
      </c>
      <c r="EM71">
        <v>0</v>
      </c>
      <c r="EN71">
        <v>0</v>
      </c>
      <c r="EO71">
        <v>0</v>
      </c>
      <c r="EP71">
        <v>5494400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</row>
    <row r="72" spans="1:152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26279200</v>
      </c>
      <c r="I72">
        <v>1712000</v>
      </c>
      <c r="J72">
        <v>0</v>
      </c>
      <c r="K72">
        <v>26792800</v>
      </c>
      <c r="L72">
        <v>23625600</v>
      </c>
      <c r="M72">
        <v>0</v>
      </c>
      <c r="N72">
        <v>23796800</v>
      </c>
      <c r="O72">
        <v>0</v>
      </c>
      <c r="P72">
        <v>0</v>
      </c>
      <c r="Q72">
        <v>0</v>
      </c>
      <c r="R72">
        <v>0</v>
      </c>
      <c r="S72">
        <v>0</v>
      </c>
      <c r="T72">
        <v>28932800</v>
      </c>
      <c r="X72">
        <v>9</v>
      </c>
      <c r="Y72">
        <v>2</v>
      </c>
      <c r="Z72">
        <v>4</v>
      </c>
      <c r="AA72">
        <v>4</v>
      </c>
      <c r="AB72">
        <v>5</v>
      </c>
      <c r="AC72">
        <v>9</v>
      </c>
      <c r="AD72">
        <v>9</v>
      </c>
      <c r="AE72">
        <v>9</v>
      </c>
      <c r="AF72">
        <v>9</v>
      </c>
      <c r="AG72">
        <v>9</v>
      </c>
      <c r="AH72">
        <v>9</v>
      </c>
      <c r="AI72">
        <v>9</v>
      </c>
      <c r="AJ72">
        <v>4</v>
      </c>
      <c r="AK72">
        <v>14</v>
      </c>
      <c r="AL72">
        <v>4</v>
      </c>
      <c r="AM72">
        <v>9</v>
      </c>
      <c r="AN72">
        <v>9</v>
      </c>
      <c r="AO72">
        <v>4</v>
      </c>
      <c r="AP72">
        <v>4</v>
      </c>
      <c r="AQ72">
        <v>9</v>
      </c>
      <c r="AT72" s="50">
        <v>0</v>
      </c>
      <c r="AU72" s="50">
        <v>51.001833517995699</v>
      </c>
      <c r="AV72" s="50">
        <v>0</v>
      </c>
      <c r="AW72" s="50">
        <v>232.01102970084699</v>
      </c>
      <c r="AX72" s="50">
        <v>20.522786732906798</v>
      </c>
      <c r="AY72" s="50">
        <v>0</v>
      </c>
      <c r="AZ72" s="50">
        <v>0</v>
      </c>
      <c r="BA72" s="50">
        <v>0</v>
      </c>
      <c r="BB72" s="50">
        <v>411.24428142535498</v>
      </c>
      <c r="BC72" s="50">
        <v>0</v>
      </c>
      <c r="BD72" s="50">
        <v>0</v>
      </c>
      <c r="BE72" s="50">
        <v>0</v>
      </c>
      <c r="BF72" s="50">
        <v>0</v>
      </c>
      <c r="BG72" s="50">
        <v>52.620068622895801</v>
      </c>
      <c r="BH72" s="50">
        <v>0</v>
      </c>
      <c r="BI72" s="50">
        <v>0</v>
      </c>
      <c r="BJ72" s="50">
        <v>0</v>
      </c>
      <c r="BK72" s="50">
        <v>0</v>
      </c>
      <c r="BL72" s="50">
        <v>0</v>
      </c>
      <c r="BM72" s="50">
        <v>0</v>
      </c>
      <c r="BP72">
        <v>0</v>
      </c>
      <c r="BQ72">
        <v>62</v>
      </c>
      <c r="BR72">
        <v>0</v>
      </c>
      <c r="BS72">
        <v>247</v>
      </c>
      <c r="BT72">
        <v>29</v>
      </c>
      <c r="BU72">
        <v>0</v>
      </c>
      <c r="BV72">
        <v>0</v>
      </c>
      <c r="BW72">
        <v>0</v>
      </c>
      <c r="BX72">
        <v>426</v>
      </c>
      <c r="BY72">
        <v>0</v>
      </c>
      <c r="BZ72">
        <v>0</v>
      </c>
      <c r="CA72">
        <v>0</v>
      </c>
      <c r="CB72">
        <v>0</v>
      </c>
      <c r="CC72">
        <v>64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L72" s="60">
        <v>0</v>
      </c>
      <c r="CM72" s="60">
        <v>27</v>
      </c>
      <c r="CN72" s="60">
        <v>0</v>
      </c>
      <c r="CO72" s="60">
        <v>52</v>
      </c>
      <c r="CP72" s="60">
        <v>42</v>
      </c>
      <c r="CQ72" s="60">
        <v>130</v>
      </c>
      <c r="CR72" s="60">
        <v>0</v>
      </c>
      <c r="CS72" s="60">
        <v>103</v>
      </c>
      <c r="CT72" s="60">
        <v>0</v>
      </c>
      <c r="CU72" s="60">
        <v>0</v>
      </c>
      <c r="CV72" s="60">
        <v>0</v>
      </c>
      <c r="CW72" s="60">
        <v>0</v>
      </c>
      <c r="CX72" s="60">
        <v>0</v>
      </c>
      <c r="CY72" s="60">
        <v>0</v>
      </c>
      <c r="CZ72" s="60">
        <v>13</v>
      </c>
      <c r="DA72" s="60">
        <v>0</v>
      </c>
      <c r="DB72" s="60">
        <v>0</v>
      </c>
      <c r="DC72" s="60">
        <v>0</v>
      </c>
      <c r="DD72" s="60">
        <v>29</v>
      </c>
      <c r="DE72" s="60">
        <v>0</v>
      </c>
      <c r="DH72">
        <v>0</v>
      </c>
      <c r="DI72">
        <v>2311200</v>
      </c>
      <c r="DJ72">
        <v>0</v>
      </c>
      <c r="DK72">
        <v>4451200</v>
      </c>
      <c r="DL72">
        <v>3595200</v>
      </c>
      <c r="DM72">
        <v>11128000</v>
      </c>
      <c r="DN72">
        <v>0</v>
      </c>
      <c r="DO72">
        <v>8816800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1112800</v>
      </c>
      <c r="DW72">
        <v>0</v>
      </c>
      <c r="DX72">
        <v>0</v>
      </c>
      <c r="DY72">
        <v>0</v>
      </c>
      <c r="DZ72">
        <v>2482400</v>
      </c>
      <c r="EA72">
        <v>0</v>
      </c>
      <c r="EC72">
        <v>0</v>
      </c>
      <c r="ED72">
        <v>2327200</v>
      </c>
      <c r="EE72">
        <v>0</v>
      </c>
      <c r="EF72">
        <v>4467200</v>
      </c>
      <c r="EG72">
        <v>3611200</v>
      </c>
      <c r="EH72">
        <v>11144000</v>
      </c>
      <c r="EI72">
        <v>0</v>
      </c>
      <c r="EJ72">
        <v>8832800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1128800</v>
      </c>
      <c r="ER72">
        <v>0</v>
      </c>
      <c r="ES72">
        <v>0</v>
      </c>
      <c r="ET72">
        <v>0</v>
      </c>
      <c r="EU72">
        <v>2498400</v>
      </c>
      <c r="EV72">
        <v>0</v>
      </c>
    </row>
    <row r="73" spans="1:152">
      <c r="A73">
        <v>0</v>
      </c>
      <c r="B73">
        <v>0</v>
      </c>
      <c r="C73">
        <v>20458400</v>
      </c>
      <c r="D73">
        <v>0</v>
      </c>
      <c r="E73">
        <v>0</v>
      </c>
      <c r="F73">
        <v>50076000</v>
      </c>
      <c r="G73">
        <v>27477600</v>
      </c>
      <c r="H73">
        <v>0</v>
      </c>
      <c r="I73">
        <v>0</v>
      </c>
      <c r="J73">
        <v>856000</v>
      </c>
      <c r="K73">
        <v>0</v>
      </c>
      <c r="L73">
        <v>29788800</v>
      </c>
      <c r="M73">
        <v>0</v>
      </c>
      <c r="N73">
        <v>0</v>
      </c>
      <c r="O73">
        <v>0</v>
      </c>
      <c r="P73">
        <v>15921600</v>
      </c>
      <c r="Q73">
        <v>0</v>
      </c>
      <c r="R73">
        <v>0</v>
      </c>
      <c r="S73">
        <v>0</v>
      </c>
      <c r="T73">
        <v>0</v>
      </c>
      <c r="X73">
        <v>8</v>
      </c>
      <c r="Y73">
        <v>2</v>
      </c>
      <c r="Z73">
        <v>6</v>
      </c>
      <c r="AA73">
        <v>4</v>
      </c>
      <c r="AB73">
        <v>5</v>
      </c>
      <c r="AC73">
        <v>6</v>
      </c>
      <c r="AD73">
        <v>6</v>
      </c>
      <c r="AE73">
        <v>8</v>
      </c>
      <c r="AF73">
        <v>8</v>
      </c>
      <c r="AG73">
        <v>6</v>
      </c>
      <c r="AH73">
        <v>8</v>
      </c>
      <c r="AI73">
        <v>6</v>
      </c>
      <c r="AJ73">
        <v>6</v>
      </c>
      <c r="AK73">
        <v>4</v>
      </c>
      <c r="AL73">
        <v>15</v>
      </c>
      <c r="AM73">
        <v>8</v>
      </c>
      <c r="AN73">
        <v>6</v>
      </c>
      <c r="AO73">
        <v>6</v>
      </c>
      <c r="AP73">
        <v>19</v>
      </c>
      <c r="AQ73">
        <v>6</v>
      </c>
      <c r="AT73" s="50">
        <v>0</v>
      </c>
      <c r="AU73" s="50">
        <v>18.449451374245001</v>
      </c>
      <c r="AV73" s="50">
        <v>0</v>
      </c>
      <c r="AW73" s="50">
        <v>42.112770292004697</v>
      </c>
      <c r="AX73" s="50">
        <v>32.602722577647498</v>
      </c>
      <c r="AY73" s="50">
        <v>117.08374763215301</v>
      </c>
      <c r="AZ73" s="50">
        <v>0</v>
      </c>
      <c r="BA73" s="50">
        <v>90.190978948497104</v>
      </c>
      <c r="BB73" s="50">
        <v>0</v>
      </c>
      <c r="BC73" s="50">
        <v>0</v>
      </c>
      <c r="BD73" s="50">
        <v>0</v>
      </c>
      <c r="BE73" s="50">
        <v>0</v>
      </c>
      <c r="BF73" s="50">
        <v>0</v>
      </c>
      <c r="BG73" s="50">
        <v>0</v>
      </c>
      <c r="BH73" s="50">
        <v>6.88567854462275</v>
      </c>
      <c r="BI73" s="50">
        <v>0</v>
      </c>
      <c r="BJ73" s="50">
        <v>0</v>
      </c>
      <c r="BK73" s="50">
        <v>0</v>
      </c>
      <c r="BL73" s="50">
        <v>20.632231316344399</v>
      </c>
      <c r="BM73" s="50">
        <v>0</v>
      </c>
      <c r="BP73">
        <v>0</v>
      </c>
      <c r="BQ73">
        <v>27</v>
      </c>
      <c r="BR73">
        <v>0</v>
      </c>
      <c r="BS73">
        <v>52</v>
      </c>
      <c r="BT73">
        <v>42</v>
      </c>
      <c r="BU73">
        <v>130</v>
      </c>
      <c r="BV73">
        <v>0</v>
      </c>
      <c r="BW73">
        <v>103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13</v>
      </c>
      <c r="CE73">
        <v>0</v>
      </c>
      <c r="CF73">
        <v>0</v>
      </c>
      <c r="CG73">
        <v>0</v>
      </c>
      <c r="CH73">
        <v>29</v>
      </c>
      <c r="CI73">
        <v>0</v>
      </c>
      <c r="CL73" s="60">
        <v>0</v>
      </c>
      <c r="CM73" s="60">
        <v>0</v>
      </c>
      <c r="CN73" s="60">
        <v>0</v>
      </c>
      <c r="CO73" s="60">
        <v>0</v>
      </c>
      <c r="CP73" s="60">
        <v>31</v>
      </c>
      <c r="CQ73" s="60">
        <v>0</v>
      </c>
      <c r="CR73" s="60">
        <v>0</v>
      </c>
      <c r="CS73" s="60">
        <v>707</v>
      </c>
      <c r="CT73" s="60">
        <v>0</v>
      </c>
      <c r="CU73" s="60">
        <v>0</v>
      </c>
      <c r="CV73" s="60">
        <v>0</v>
      </c>
      <c r="CW73" s="60">
        <v>0</v>
      </c>
      <c r="CX73" s="60">
        <v>0</v>
      </c>
      <c r="CY73" s="60">
        <v>0</v>
      </c>
      <c r="CZ73" s="60">
        <v>0</v>
      </c>
      <c r="DA73" s="60">
        <v>76</v>
      </c>
      <c r="DB73" s="60">
        <v>80</v>
      </c>
      <c r="DC73" s="60">
        <v>0</v>
      </c>
      <c r="DD73" s="60">
        <v>0</v>
      </c>
      <c r="DE73" s="60">
        <v>0</v>
      </c>
      <c r="DH73">
        <v>0</v>
      </c>
      <c r="DI73">
        <v>0</v>
      </c>
      <c r="DJ73">
        <v>0</v>
      </c>
      <c r="DK73">
        <v>0</v>
      </c>
      <c r="DL73">
        <v>2653600</v>
      </c>
      <c r="DM73">
        <v>0</v>
      </c>
      <c r="DN73">
        <v>0</v>
      </c>
      <c r="DO73">
        <v>60519200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6505600</v>
      </c>
      <c r="DX73">
        <v>6848000</v>
      </c>
      <c r="DY73">
        <v>0</v>
      </c>
      <c r="DZ73">
        <v>0</v>
      </c>
      <c r="EA73">
        <v>0</v>
      </c>
      <c r="EC73">
        <v>0</v>
      </c>
      <c r="ED73">
        <v>0</v>
      </c>
      <c r="EE73">
        <v>0</v>
      </c>
      <c r="EF73">
        <v>0</v>
      </c>
      <c r="EG73">
        <v>2669600</v>
      </c>
      <c r="EH73">
        <v>0</v>
      </c>
      <c r="EI73">
        <v>0</v>
      </c>
      <c r="EJ73">
        <v>60535200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6521600</v>
      </c>
      <c r="ES73">
        <v>6864000</v>
      </c>
      <c r="ET73">
        <v>0</v>
      </c>
      <c r="EU73">
        <v>0</v>
      </c>
      <c r="EV73">
        <v>0</v>
      </c>
    </row>
    <row r="74" spans="1:152">
      <c r="A74">
        <v>0</v>
      </c>
      <c r="B74">
        <v>5992000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40574400</v>
      </c>
      <c r="J74">
        <v>0</v>
      </c>
      <c r="K74">
        <v>6933600</v>
      </c>
      <c r="L74">
        <v>39975200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X74">
        <v>8</v>
      </c>
      <c r="Y74">
        <v>8</v>
      </c>
      <c r="Z74">
        <v>8</v>
      </c>
      <c r="AA74">
        <v>8</v>
      </c>
      <c r="AB74">
        <v>5</v>
      </c>
      <c r="AC74">
        <v>8</v>
      </c>
      <c r="AD74">
        <v>8</v>
      </c>
      <c r="AE74">
        <v>8</v>
      </c>
      <c r="AF74">
        <v>8</v>
      </c>
      <c r="AG74">
        <v>8</v>
      </c>
      <c r="AH74">
        <v>8</v>
      </c>
      <c r="AI74">
        <v>8</v>
      </c>
      <c r="AJ74">
        <v>17</v>
      </c>
      <c r="AK74">
        <v>8</v>
      </c>
      <c r="AL74">
        <v>8</v>
      </c>
      <c r="AM74">
        <v>16</v>
      </c>
      <c r="AN74">
        <v>17</v>
      </c>
      <c r="AO74">
        <v>8</v>
      </c>
      <c r="AP74">
        <v>8</v>
      </c>
      <c r="AQ74">
        <v>8</v>
      </c>
      <c r="AT74" s="50">
        <v>0</v>
      </c>
      <c r="AU74" s="50">
        <v>0</v>
      </c>
      <c r="AV74" s="50">
        <v>0</v>
      </c>
      <c r="AW74" s="50">
        <v>0</v>
      </c>
      <c r="AX74" s="50">
        <v>22.7531755959827</v>
      </c>
      <c r="AY74" s="50">
        <v>0</v>
      </c>
      <c r="AZ74" s="50">
        <v>0</v>
      </c>
      <c r="BA74" s="50">
        <v>694.97913792487202</v>
      </c>
      <c r="BB74" s="50">
        <v>0</v>
      </c>
      <c r="BC74" s="50">
        <v>0</v>
      </c>
      <c r="BD74" s="50">
        <v>0</v>
      </c>
      <c r="BE74" s="50">
        <v>0</v>
      </c>
      <c r="BF74" s="50">
        <v>0</v>
      </c>
      <c r="BG74" s="50">
        <v>0</v>
      </c>
      <c r="BH74" s="50">
        <v>0</v>
      </c>
      <c r="BI74" s="50">
        <v>64.678923478323</v>
      </c>
      <c r="BJ74" s="50">
        <v>68.388763000822095</v>
      </c>
      <c r="BK74" s="50">
        <v>0</v>
      </c>
      <c r="BL74" s="50">
        <v>0</v>
      </c>
      <c r="BM74" s="50">
        <v>0</v>
      </c>
      <c r="BP74">
        <v>0</v>
      </c>
      <c r="BQ74">
        <v>0</v>
      </c>
      <c r="BR74">
        <v>0</v>
      </c>
      <c r="BS74">
        <v>0</v>
      </c>
      <c r="BT74">
        <v>31</v>
      </c>
      <c r="BU74">
        <v>0</v>
      </c>
      <c r="BV74">
        <v>0</v>
      </c>
      <c r="BW74">
        <v>707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76</v>
      </c>
      <c r="CF74">
        <v>80</v>
      </c>
      <c r="CG74">
        <v>0</v>
      </c>
      <c r="CH74">
        <v>0</v>
      </c>
      <c r="CI74">
        <v>0</v>
      </c>
      <c r="CL74" s="60">
        <v>0</v>
      </c>
      <c r="CM74" s="60">
        <v>20</v>
      </c>
      <c r="CN74" s="60">
        <v>0</v>
      </c>
      <c r="CO74" s="60">
        <v>0</v>
      </c>
      <c r="CP74" s="60">
        <v>10</v>
      </c>
      <c r="CQ74" s="60">
        <v>0</v>
      </c>
      <c r="CR74" s="60">
        <v>150</v>
      </c>
      <c r="CS74" s="60">
        <v>0</v>
      </c>
      <c r="CT74" s="60">
        <v>0</v>
      </c>
      <c r="CU74" s="60">
        <v>0</v>
      </c>
      <c r="CV74" s="60">
        <v>0</v>
      </c>
      <c r="CW74" s="60">
        <v>0</v>
      </c>
      <c r="CX74" s="60">
        <v>83</v>
      </c>
      <c r="CY74" s="60">
        <v>0</v>
      </c>
      <c r="CZ74" s="60">
        <v>0</v>
      </c>
      <c r="DA74" s="60">
        <v>80</v>
      </c>
      <c r="DB74" s="60">
        <v>8</v>
      </c>
      <c r="DC74" s="60">
        <v>0</v>
      </c>
      <c r="DD74" s="60">
        <v>0</v>
      </c>
      <c r="DE74" s="60">
        <v>0</v>
      </c>
      <c r="DH74">
        <v>0</v>
      </c>
      <c r="DI74">
        <v>1712000</v>
      </c>
      <c r="DJ74">
        <v>0</v>
      </c>
      <c r="DK74">
        <v>0</v>
      </c>
      <c r="DL74">
        <v>856000</v>
      </c>
      <c r="DM74">
        <v>0</v>
      </c>
      <c r="DN74">
        <v>12840000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7104800</v>
      </c>
      <c r="DU74">
        <v>0</v>
      </c>
      <c r="DV74">
        <v>0</v>
      </c>
      <c r="DW74">
        <v>6848000</v>
      </c>
      <c r="DX74">
        <v>684800</v>
      </c>
      <c r="DY74">
        <v>0</v>
      </c>
      <c r="DZ74">
        <v>0</v>
      </c>
      <c r="EA74">
        <v>0</v>
      </c>
      <c r="EC74">
        <v>0</v>
      </c>
      <c r="ED74">
        <v>1728000</v>
      </c>
      <c r="EE74">
        <v>0</v>
      </c>
      <c r="EF74">
        <v>0</v>
      </c>
      <c r="EG74">
        <v>872000</v>
      </c>
      <c r="EH74">
        <v>0</v>
      </c>
      <c r="EI74">
        <v>12856000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7120800</v>
      </c>
      <c r="EP74">
        <v>0</v>
      </c>
      <c r="EQ74">
        <v>0</v>
      </c>
      <c r="ER74">
        <v>6864000</v>
      </c>
      <c r="ES74">
        <v>700800</v>
      </c>
      <c r="ET74">
        <v>0</v>
      </c>
      <c r="EU74">
        <v>0</v>
      </c>
      <c r="EV74">
        <v>0</v>
      </c>
    </row>
    <row r="75" spans="1:152">
      <c r="A75">
        <v>0</v>
      </c>
      <c r="B75">
        <v>54441600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19003200</v>
      </c>
      <c r="K75">
        <v>46566400</v>
      </c>
      <c r="L75">
        <v>428000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X75">
        <v>7</v>
      </c>
      <c r="Y75">
        <v>2</v>
      </c>
      <c r="Z75">
        <v>7</v>
      </c>
      <c r="AA75">
        <v>7</v>
      </c>
      <c r="AB75">
        <v>5</v>
      </c>
      <c r="AC75">
        <v>7</v>
      </c>
      <c r="AD75">
        <v>7</v>
      </c>
      <c r="AE75">
        <v>7</v>
      </c>
      <c r="AF75">
        <v>7</v>
      </c>
      <c r="AG75">
        <v>7</v>
      </c>
      <c r="AH75">
        <v>7</v>
      </c>
      <c r="AI75">
        <v>7</v>
      </c>
      <c r="AJ75">
        <v>13</v>
      </c>
      <c r="AK75">
        <v>7</v>
      </c>
      <c r="AL75">
        <v>7</v>
      </c>
      <c r="AM75">
        <v>16</v>
      </c>
      <c r="AN75">
        <v>17</v>
      </c>
      <c r="AO75">
        <v>13</v>
      </c>
      <c r="AP75">
        <v>7</v>
      </c>
      <c r="AQ75">
        <v>7</v>
      </c>
      <c r="AT75" s="50">
        <v>0</v>
      </c>
      <c r="AU75" s="50">
        <v>12.547753672397199</v>
      </c>
      <c r="AV75" s="50">
        <v>0</v>
      </c>
      <c r="AW75" s="50">
        <v>0</v>
      </c>
      <c r="AX75" s="50">
        <v>5.04912970442117</v>
      </c>
      <c r="AY75" s="50">
        <v>0</v>
      </c>
      <c r="AZ75" s="50">
        <v>136.685828657207</v>
      </c>
      <c r="BA75" s="50">
        <v>0</v>
      </c>
      <c r="BB75" s="50">
        <v>0</v>
      </c>
      <c r="BC75" s="50">
        <v>0</v>
      </c>
      <c r="BD75" s="50">
        <v>0</v>
      </c>
      <c r="BE75" s="50">
        <v>0</v>
      </c>
      <c r="BF75" s="50">
        <v>71.015390114014096</v>
      </c>
      <c r="BG75" s="50">
        <v>0</v>
      </c>
      <c r="BH75" s="50">
        <v>0</v>
      </c>
      <c r="BI75" s="50">
        <v>68.388763000822095</v>
      </c>
      <c r="BJ75" s="50">
        <v>3.1850173344293902</v>
      </c>
      <c r="BK75" s="50">
        <v>0</v>
      </c>
      <c r="BL75" s="50">
        <v>0</v>
      </c>
      <c r="BM75" s="50">
        <v>0</v>
      </c>
      <c r="BP75">
        <v>0</v>
      </c>
      <c r="BQ75">
        <v>20</v>
      </c>
      <c r="BR75">
        <v>0</v>
      </c>
      <c r="BS75">
        <v>0</v>
      </c>
      <c r="BT75">
        <v>10</v>
      </c>
      <c r="BU75">
        <v>0</v>
      </c>
      <c r="BV75">
        <v>150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83</v>
      </c>
      <c r="CC75">
        <v>0</v>
      </c>
      <c r="CD75">
        <v>0</v>
      </c>
      <c r="CE75">
        <v>80</v>
      </c>
      <c r="CF75">
        <v>8</v>
      </c>
      <c r="CG75">
        <v>0</v>
      </c>
      <c r="CH75">
        <v>0</v>
      </c>
      <c r="CI75">
        <v>0</v>
      </c>
      <c r="CL75" s="60">
        <v>0</v>
      </c>
      <c r="CM75" s="60">
        <v>79</v>
      </c>
      <c r="CN75" s="60">
        <v>602</v>
      </c>
      <c r="CO75" s="60">
        <v>0</v>
      </c>
      <c r="CP75" s="60">
        <v>0</v>
      </c>
      <c r="CQ75" s="60">
        <v>0</v>
      </c>
      <c r="CR75" s="60">
        <v>0</v>
      </c>
      <c r="CS75" s="60">
        <v>0</v>
      </c>
      <c r="CT75" s="60">
        <v>0</v>
      </c>
      <c r="CU75" s="60">
        <v>0</v>
      </c>
      <c r="CV75" s="60">
        <v>0</v>
      </c>
      <c r="CW75" s="60">
        <v>0</v>
      </c>
      <c r="CX75" s="60">
        <v>540</v>
      </c>
      <c r="CY75" s="60">
        <v>0</v>
      </c>
      <c r="CZ75" s="60">
        <v>0</v>
      </c>
      <c r="DA75" s="60">
        <v>0</v>
      </c>
      <c r="DB75" s="60">
        <v>0</v>
      </c>
      <c r="DC75" s="60">
        <v>14</v>
      </c>
      <c r="DD75" s="60">
        <v>0</v>
      </c>
      <c r="DE75" s="60">
        <v>0</v>
      </c>
      <c r="DH75">
        <v>0</v>
      </c>
      <c r="DI75">
        <v>6762400</v>
      </c>
      <c r="DJ75">
        <v>51531200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46224000</v>
      </c>
      <c r="DU75">
        <v>0</v>
      </c>
      <c r="DV75">
        <v>0</v>
      </c>
      <c r="DW75">
        <v>0</v>
      </c>
      <c r="DX75">
        <v>0</v>
      </c>
      <c r="DY75">
        <v>1198400</v>
      </c>
      <c r="DZ75">
        <v>0</v>
      </c>
      <c r="EA75">
        <v>0</v>
      </c>
      <c r="EC75">
        <v>0</v>
      </c>
      <c r="ED75">
        <v>6778400</v>
      </c>
      <c r="EE75">
        <v>51547200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46240000</v>
      </c>
      <c r="EP75">
        <v>0</v>
      </c>
      <c r="EQ75">
        <v>0</v>
      </c>
      <c r="ER75">
        <v>0</v>
      </c>
      <c r="ES75">
        <v>0</v>
      </c>
      <c r="ET75">
        <v>1214400</v>
      </c>
      <c r="EU75">
        <v>0</v>
      </c>
      <c r="EV75">
        <v>0</v>
      </c>
    </row>
    <row r="76" spans="1:152">
      <c r="A76">
        <v>4365600</v>
      </c>
      <c r="B76">
        <v>0</v>
      </c>
      <c r="C76">
        <v>0</v>
      </c>
      <c r="D76">
        <v>0</v>
      </c>
      <c r="E76">
        <v>0</v>
      </c>
      <c r="F76">
        <v>24310400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4793600</v>
      </c>
      <c r="N76">
        <v>0</v>
      </c>
      <c r="O76">
        <v>0</v>
      </c>
      <c r="P76">
        <v>0</v>
      </c>
      <c r="Q76">
        <v>7104800</v>
      </c>
      <c r="R76">
        <v>35952000</v>
      </c>
      <c r="S76">
        <v>0</v>
      </c>
      <c r="T76">
        <v>0</v>
      </c>
      <c r="X76">
        <v>3</v>
      </c>
      <c r="Y76">
        <v>2</v>
      </c>
      <c r="Z76">
        <v>3</v>
      </c>
      <c r="AA76">
        <v>3</v>
      </c>
      <c r="AB76">
        <v>3</v>
      </c>
      <c r="AC76">
        <v>13</v>
      </c>
      <c r="AD76">
        <v>13</v>
      </c>
      <c r="AE76">
        <v>3</v>
      </c>
      <c r="AF76">
        <v>3</v>
      </c>
      <c r="AG76">
        <v>3</v>
      </c>
      <c r="AH76">
        <v>3</v>
      </c>
      <c r="AI76">
        <v>3</v>
      </c>
      <c r="AJ76">
        <v>13</v>
      </c>
      <c r="AK76">
        <v>3</v>
      </c>
      <c r="AL76">
        <v>13</v>
      </c>
      <c r="AM76">
        <v>3</v>
      </c>
      <c r="AN76">
        <v>13</v>
      </c>
      <c r="AO76">
        <v>18</v>
      </c>
      <c r="AP76">
        <v>3</v>
      </c>
      <c r="AQ76">
        <v>13</v>
      </c>
      <c r="AT76" s="50">
        <v>0</v>
      </c>
      <c r="AU76" s="50">
        <v>66.892553343579095</v>
      </c>
      <c r="AV76" s="50">
        <v>589.01571803852903</v>
      </c>
      <c r="AW76" s="50">
        <v>0</v>
      </c>
      <c r="AX76" s="50">
        <v>0</v>
      </c>
      <c r="AY76" s="50">
        <v>0</v>
      </c>
      <c r="AZ76" s="50">
        <v>0</v>
      </c>
      <c r="BA76" s="50">
        <v>0</v>
      </c>
      <c r="BB76" s="50">
        <v>0</v>
      </c>
      <c r="BC76" s="50">
        <v>0</v>
      </c>
      <c r="BD76" s="50">
        <v>0</v>
      </c>
      <c r="BE76" s="50">
        <v>0</v>
      </c>
      <c r="BF76" s="50">
        <v>526.645868329819</v>
      </c>
      <c r="BG76" s="50">
        <v>0</v>
      </c>
      <c r="BH76" s="50">
        <v>0</v>
      </c>
      <c r="BI76" s="50">
        <v>0</v>
      </c>
      <c r="BJ76" s="50">
        <v>0</v>
      </c>
      <c r="BK76" s="50">
        <v>7.81286768647914</v>
      </c>
      <c r="BL76" s="50">
        <v>0</v>
      </c>
      <c r="BM76" s="50">
        <v>0</v>
      </c>
      <c r="BP76">
        <v>0</v>
      </c>
      <c r="BQ76">
        <v>79</v>
      </c>
      <c r="BR76">
        <v>602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540</v>
      </c>
      <c r="CC76">
        <v>0</v>
      </c>
      <c r="CD76">
        <v>0</v>
      </c>
      <c r="CE76">
        <v>0</v>
      </c>
      <c r="CF76">
        <v>0</v>
      </c>
      <c r="CG76">
        <v>14</v>
      </c>
      <c r="CH76">
        <v>0</v>
      </c>
      <c r="CI76">
        <v>0</v>
      </c>
      <c r="CL76" s="60">
        <v>0</v>
      </c>
      <c r="CM76" s="60">
        <v>0</v>
      </c>
      <c r="CN76" s="60">
        <v>761</v>
      </c>
      <c r="CO76" s="60">
        <v>0</v>
      </c>
      <c r="CP76" s="60">
        <v>0</v>
      </c>
      <c r="CQ76" s="60">
        <v>0</v>
      </c>
      <c r="CR76" s="60">
        <v>0</v>
      </c>
      <c r="CS76" s="60">
        <v>0</v>
      </c>
      <c r="CT76" s="60">
        <v>0</v>
      </c>
      <c r="CU76" s="60">
        <v>0</v>
      </c>
      <c r="CV76" s="60">
        <v>0</v>
      </c>
      <c r="CW76" s="60">
        <v>0</v>
      </c>
      <c r="CX76" s="60">
        <v>0</v>
      </c>
      <c r="CY76" s="60">
        <v>0</v>
      </c>
      <c r="CZ76" s="60">
        <v>29</v>
      </c>
      <c r="DA76" s="60">
        <v>0</v>
      </c>
      <c r="DB76" s="60">
        <v>0</v>
      </c>
      <c r="DC76" s="60">
        <v>0</v>
      </c>
      <c r="DD76" s="60">
        <v>73</v>
      </c>
      <c r="DE76" s="60">
        <v>0</v>
      </c>
      <c r="DH76">
        <v>0</v>
      </c>
      <c r="DI76">
        <v>0</v>
      </c>
      <c r="DJ76">
        <v>65141600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2482400</v>
      </c>
      <c r="DW76">
        <v>0</v>
      </c>
      <c r="DX76">
        <v>0</v>
      </c>
      <c r="DY76">
        <v>0</v>
      </c>
      <c r="DZ76">
        <v>6248800</v>
      </c>
      <c r="EA76">
        <v>0</v>
      </c>
      <c r="EC76">
        <v>0</v>
      </c>
      <c r="ED76">
        <v>0</v>
      </c>
      <c r="EE76">
        <v>65157600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2498400</v>
      </c>
      <c r="ER76">
        <v>0</v>
      </c>
      <c r="ES76">
        <v>0</v>
      </c>
      <c r="ET76">
        <v>0</v>
      </c>
      <c r="EU76">
        <v>6264800</v>
      </c>
      <c r="EV76">
        <v>0</v>
      </c>
    </row>
    <row r="77" spans="1:152">
      <c r="A77">
        <v>0</v>
      </c>
      <c r="B77">
        <v>5307200</v>
      </c>
      <c r="C77">
        <v>0</v>
      </c>
      <c r="D77">
        <v>21143200</v>
      </c>
      <c r="E77">
        <v>2482400</v>
      </c>
      <c r="F77">
        <v>0</v>
      </c>
      <c r="G77">
        <v>0</v>
      </c>
      <c r="H77">
        <v>0</v>
      </c>
      <c r="I77">
        <v>36465600</v>
      </c>
      <c r="J77">
        <v>0</v>
      </c>
      <c r="K77">
        <v>0</v>
      </c>
      <c r="L77">
        <v>0</v>
      </c>
      <c r="M77">
        <v>0</v>
      </c>
      <c r="N77">
        <v>5478400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X77">
        <v>3</v>
      </c>
      <c r="Y77">
        <v>3</v>
      </c>
      <c r="Z77">
        <v>3</v>
      </c>
      <c r="AA77">
        <v>3</v>
      </c>
      <c r="AB77">
        <v>3</v>
      </c>
      <c r="AC77">
        <v>3</v>
      </c>
      <c r="AD77">
        <v>3</v>
      </c>
      <c r="AE77">
        <v>3</v>
      </c>
      <c r="AF77">
        <v>3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15</v>
      </c>
      <c r="AM77">
        <v>3</v>
      </c>
      <c r="AN77">
        <v>3</v>
      </c>
      <c r="AO77">
        <v>3</v>
      </c>
      <c r="AP77">
        <v>19</v>
      </c>
      <c r="AQ77">
        <v>3</v>
      </c>
      <c r="AT77" s="50">
        <v>0</v>
      </c>
      <c r="AU77" s="50">
        <v>0</v>
      </c>
      <c r="AV77" s="50">
        <v>749.34539833446502</v>
      </c>
      <c r="AW77" s="50">
        <v>0</v>
      </c>
      <c r="AX77" s="50">
        <v>0</v>
      </c>
      <c r="AY77" s="50">
        <v>0</v>
      </c>
      <c r="AZ77" s="50">
        <v>0</v>
      </c>
      <c r="BA77" s="50">
        <v>0</v>
      </c>
      <c r="BB77" s="50">
        <v>0</v>
      </c>
      <c r="BC77" s="50">
        <v>0</v>
      </c>
      <c r="BD77" s="50">
        <v>0</v>
      </c>
      <c r="BE77" s="50">
        <v>0</v>
      </c>
      <c r="BF77" s="50">
        <v>0</v>
      </c>
      <c r="BG77" s="50">
        <v>0</v>
      </c>
      <c r="BH77" s="50">
        <v>20.632231316344399</v>
      </c>
      <c r="BI77" s="50">
        <v>0</v>
      </c>
      <c r="BJ77" s="50">
        <v>0</v>
      </c>
      <c r="BK77" s="50">
        <v>0</v>
      </c>
      <c r="BL77" s="50">
        <v>61.8223703491905</v>
      </c>
      <c r="BM77" s="50">
        <v>0</v>
      </c>
      <c r="BP77">
        <v>0</v>
      </c>
      <c r="BQ77">
        <v>0</v>
      </c>
      <c r="BR77">
        <v>528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29</v>
      </c>
      <c r="CE77">
        <v>0</v>
      </c>
      <c r="CF77">
        <v>0</v>
      </c>
      <c r="CG77">
        <v>0</v>
      </c>
      <c r="CH77">
        <v>73</v>
      </c>
      <c r="CI77">
        <v>0</v>
      </c>
      <c r="CL77" s="60">
        <v>0</v>
      </c>
      <c r="CM77" s="60">
        <v>0</v>
      </c>
      <c r="CN77" s="60">
        <v>0</v>
      </c>
      <c r="CO77" s="60">
        <v>0</v>
      </c>
      <c r="CP77" s="60">
        <v>0</v>
      </c>
      <c r="CQ77" s="60">
        <v>282</v>
      </c>
      <c r="CR77" s="60">
        <v>454</v>
      </c>
      <c r="CS77" s="60">
        <v>0</v>
      </c>
      <c r="CT77" s="60">
        <v>338</v>
      </c>
      <c r="CU77" s="60">
        <v>0</v>
      </c>
      <c r="CV77" s="60">
        <v>0</v>
      </c>
      <c r="CW77" s="60">
        <v>0</v>
      </c>
      <c r="CX77" s="60">
        <v>0</v>
      </c>
      <c r="CY77" s="60">
        <v>0</v>
      </c>
      <c r="CZ77" s="60">
        <v>0</v>
      </c>
      <c r="DA77" s="60">
        <v>0</v>
      </c>
      <c r="DB77" s="60">
        <v>0</v>
      </c>
      <c r="DC77" s="60">
        <v>0</v>
      </c>
      <c r="DD77" s="60">
        <v>0</v>
      </c>
      <c r="DE77" s="60">
        <v>8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24139200</v>
      </c>
      <c r="DN77">
        <v>38862400</v>
      </c>
      <c r="DO77">
        <v>0</v>
      </c>
      <c r="DP77">
        <v>28932800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684800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24155200</v>
      </c>
      <c r="EI77">
        <v>38878400</v>
      </c>
      <c r="EJ77">
        <v>0</v>
      </c>
      <c r="EK77">
        <v>28948800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700800</v>
      </c>
    </row>
    <row r="78" spans="1:152">
      <c r="A78">
        <v>0</v>
      </c>
      <c r="B78">
        <v>2311200</v>
      </c>
      <c r="C78">
        <v>0</v>
      </c>
      <c r="D78">
        <v>4451200</v>
      </c>
      <c r="E78">
        <v>3595200</v>
      </c>
      <c r="F78">
        <v>11128000</v>
      </c>
      <c r="G78">
        <v>0</v>
      </c>
      <c r="H78">
        <v>11727200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1112800</v>
      </c>
      <c r="P78">
        <v>0</v>
      </c>
      <c r="Q78">
        <v>0</v>
      </c>
      <c r="R78">
        <v>0</v>
      </c>
      <c r="S78">
        <v>2482400</v>
      </c>
      <c r="T78">
        <v>0</v>
      </c>
      <c r="X78">
        <v>9</v>
      </c>
      <c r="Y78">
        <v>6</v>
      </c>
      <c r="Z78">
        <v>6</v>
      </c>
      <c r="AA78">
        <v>6</v>
      </c>
      <c r="AB78">
        <v>7</v>
      </c>
      <c r="AC78">
        <v>6</v>
      </c>
      <c r="AD78">
        <v>7</v>
      </c>
      <c r="AE78">
        <v>9</v>
      </c>
      <c r="AF78">
        <v>9</v>
      </c>
      <c r="AG78">
        <v>6</v>
      </c>
      <c r="AH78">
        <v>6</v>
      </c>
      <c r="AI78">
        <v>6</v>
      </c>
      <c r="AJ78">
        <v>6</v>
      </c>
      <c r="AK78">
        <v>9</v>
      </c>
      <c r="AL78">
        <v>6</v>
      </c>
      <c r="AM78">
        <v>9</v>
      </c>
      <c r="AN78">
        <v>7</v>
      </c>
      <c r="AO78">
        <v>6</v>
      </c>
      <c r="AP78">
        <v>6</v>
      </c>
      <c r="AQ78">
        <v>20</v>
      </c>
      <c r="AT78" s="50">
        <v>0</v>
      </c>
      <c r="AU78" s="50">
        <v>0</v>
      </c>
      <c r="AV78" s="50">
        <v>0</v>
      </c>
      <c r="AW78" s="50">
        <v>0</v>
      </c>
      <c r="AX78" s="50">
        <v>0</v>
      </c>
      <c r="AY78" s="50">
        <v>267.59741591908198</v>
      </c>
      <c r="AZ78" s="50">
        <v>439.16736034168503</v>
      </c>
      <c r="BA78" s="50">
        <v>0</v>
      </c>
      <c r="BB78" s="50">
        <v>323.29050627256203</v>
      </c>
      <c r="BC78" s="50">
        <v>0</v>
      </c>
      <c r="BD78" s="50">
        <v>0</v>
      </c>
      <c r="BE78" s="50">
        <v>0</v>
      </c>
      <c r="BF78" s="50">
        <v>0</v>
      </c>
      <c r="BG78" s="50">
        <v>0</v>
      </c>
      <c r="BH78" s="50">
        <v>0</v>
      </c>
      <c r="BI78" s="50">
        <v>0</v>
      </c>
      <c r="BJ78" s="50">
        <v>0</v>
      </c>
      <c r="BK78" s="50">
        <v>0</v>
      </c>
      <c r="BL78" s="50">
        <v>0</v>
      </c>
      <c r="BM78" s="50">
        <v>3.4465992351406398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282</v>
      </c>
      <c r="BV78">
        <v>454</v>
      </c>
      <c r="BW78">
        <v>0</v>
      </c>
      <c r="BX78">
        <v>338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8</v>
      </c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</row>
    <row r="79" spans="1:152">
      <c r="A79">
        <v>0</v>
      </c>
      <c r="B79">
        <v>0</v>
      </c>
      <c r="C79">
        <v>0</v>
      </c>
      <c r="D79">
        <v>0</v>
      </c>
      <c r="E79">
        <v>2653600</v>
      </c>
      <c r="F79">
        <v>0</v>
      </c>
      <c r="G79">
        <v>0</v>
      </c>
      <c r="H79">
        <v>60519200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6505600</v>
      </c>
      <c r="Q79">
        <v>6848000</v>
      </c>
      <c r="R79">
        <v>0</v>
      </c>
      <c r="S79">
        <v>0</v>
      </c>
      <c r="T79">
        <v>0</v>
      </c>
      <c r="DE79">
        <f>SUM(CL58:DE78)</f>
        <v>33659</v>
      </c>
      <c r="EA79">
        <f>SUM(DH58:EA77)</f>
        <v>2881210400</v>
      </c>
      <c r="EV79">
        <f>SUM(EC58:EV77)</f>
        <v>2882778400</v>
      </c>
    </row>
    <row r="80" spans="1:152">
      <c r="A80">
        <v>0</v>
      </c>
      <c r="B80">
        <v>2910400</v>
      </c>
      <c r="C80">
        <v>0</v>
      </c>
      <c r="D80">
        <v>0</v>
      </c>
      <c r="E80">
        <v>856000</v>
      </c>
      <c r="F80">
        <v>0</v>
      </c>
      <c r="G80">
        <v>11727200</v>
      </c>
      <c r="H80">
        <v>0</v>
      </c>
      <c r="I80">
        <v>0</v>
      </c>
      <c r="J80">
        <v>0</v>
      </c>
      <c r="K80">
        <v>0</v>
      </c>
      <c r="L80">
        <v>0</v>
      </c>
      <c r="M80">
        <v>7104800</v>
      </c>
      <c r="N80">
        <v>0</v>
      </c>
      <c r="O80">
        <v>0</v>
      </c>
      <c r="P80">
        <v>6848000</v>
      </c>
      <c r="Q80">
        <v>684800</v>
      </c>
      <c r="R80">
        <v>0</v>
      </c>
      <c r="S80">
        <v>0</v>
      </c>
      <c r="T80">
        <v>0</v>
      </c>
      <c r="AQ80">
        <f>SUM(X59:AQ78)</f>
        <v>3662</v>
      </c>
    </row>
    <row r="81" spans="1:20">
      <c r="A81">
        <v>0</v>
      </c>
      <c r="B81">
        <v>6762400</v>
      </c>
      <c r="C81">
        <v>36551200</v>
      </c>
      <c r="D81">
        <v>0</v>
      </c>
      <c r="E81">
        <v>0</v>
      </c>
      <c r="F81">
        <v>0</v>
      </c>
      <c r="G81">
        <v>0</v>
      </c>
      <c r="H81">
        <v>0</v>
      </c>
      <c r="I81">
        <v>5735200</v>
      </c>
      <c r="J81">
        <v>0</v>
      </c>
      <c r="K81">
        <v>0</v>
      </c>
      <c r="L81">
        <v>0</v>
      </c>
      <c r="M81">
        <v>46224000</v>
      </c>
      <c r="N81">
        <v>0</v>
      </c>
      <c r="O81">
        <v>0</v>
      </c>
      <c r="P81">
        <v>0</v>
      </c>
      <c r="Q81">
        <v>0</v>
      </c>
      <c r="R81">
        <v>1198400</v>
      </c>
      <c r="S81">
        <v>0</v>
      </c>
      <c r="T81">
        <v>0</v>
      </c>
    </row>
    <row r="82" spans="1:20">
      <c r="A82">
        <v>0</v>
      </c>
      <c r="B82">
        <v>0</v>
      </c>
      <c r="C82">
        <v>57180800</v>
      </c>
      <c r="D82">
        <v>0</v>
      </c>
      <c r="E82">
        <v>0</v>
      </c>
      <c r="F82">
        <v>0</v>
      </c>
      <c r="G82">
        <v>0</v>
      </c>
      <c r="H82">
        <v>0</v>
      </c>
      <c r="I82">
        <v>9159200</v>
      </c>
      <c r="J82">
        <v>0</v>
      </c>
      <c r="K82">
        <v>0</v>
      </c>
      <c r="L82">
        <v>0</v>
      </c>
      <c r="M82">
        <v>0</v>
      </c>
      <c r="N82">
        <v>0</v>
      </c>
      <c r="O82">
        <v>2482400</v>
      </c>
      <c r="P82">
        <v>0</v>
      </c>
      <c r="Q82">
        <v>0</v>
      </c>
      <c r="R82">
        <v>0</v>
      </c>
      <c r="S82">
        <v>6248800</v>
      </c>
      <c r="T82">
        <v>0</v>
      </c>
    </row>
    <row r="83" spans="1:20">
      <c r="A83">
        <v>0</v>
      </c>
      <c r="B83">
        <v>0</v>
      </c>
      <c r="C83">
        <v>0</v>
      </c>
      <c r="D83">
        <v>0</v>
      </c>
      <c r="E83">
        <v>0</v>
      </c>
      <c r="F83">
        <v>24139200</v>
      </c>
      <c r="G83">
        <v>38862400</v>
      </c>
      <c r="H83">
        <v>0</v>
      </c>
      <c r="I83">
        <v>50418400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684800</v>
      </c>
    </row>
    <row r="85" spans="1:20">
      <c r="T85">
        <f>SUM(A64:T83)</f>
        <v>1859403200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2026-02-03T01:52:33Z</dcterms:modified>
</cp:coreProperties>
</file>