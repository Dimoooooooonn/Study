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G:\study\works\ММСС\kurs\"/>
    </mc:Choice>
  </mc:AlternateContent>
  <xr:revisionPtr revIDLastSave="0" documentId="13_ncr:1_{3288A8C3-45DE-4030-80DD-47487C26B374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param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K36" i="1" l="1"/>
  <c r="EO36" i="1"/>
  <c r="DS36" i="1"/>
  <c r="CW36" i="1" l="1"/>
  <c r="CA31" i="1" l="1"/>
  <c r="AG7" i="1" l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6" i="1"/>
  <c r="AG26" i="1" l="1"/>
  <c r="BB6" i="1" s="1"/>
  <c r="AE30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9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H30" i="1"/>
  <c r="AN6" i="1" l="1"/>
  <c r="AP23" i="1" s="1"/>
  <c r="BD18" i="1"/>
  <c r="BD23" i="1"/>
  <c r="BD13" i="1"/>
  <c r="BD28" i="1"/>
  <c r="BD11" i="1"/>
  <c r="BD22" i="1"/>
  <c r="BD19" i="1"/>
  <c r="BD17" i="1"/>
  <c r="BD24" i="1"/>
  <c r="BD16" i="1"/>
  <c r="BD21" i="1"/>
  <c r="BD15" i="1"/>
  <c r="BD27" i="1"/>
  <c r="BD12" i="1"/>
  <c r="BD10" i="1"/>
  <c r="BD26" i="1"/>
  <c r="BD25" i="1"/>
  <c r="BD14" i="1"/>
  <c r="BD20" i="1"/>
  <c r="BD29" i="1"/>
  <c r="AP25" i="1"/>
  <c r="AP17" i="1"/>
  <c r="AP26" i="1"/>
  <c r="AP21" i="1"/>
  <c r="AP12" i="1"/>
  <c r="AS6" i="1"/>
  <c r="AO6" i="1"/>
  <c r="AL6" i="1"/>
  <c r="AP11" i="1"/>
  <c r="AX6" i="1"/>
  <c r="AW6" i="1"/>
  <c r="AU6" i="1"/>
  <c r="AV6" i="1"/>
  <c r="AT6" i="1"/>
  <c r="AI6" i="1"/>
  <c r="AP13" i="1"/>
  <c r="AP20" i="1"/>
  <c r="AQ6" i="1"/>
  <c r="AP18" i="1"/>
  <c r="AP15" i="1"/>
  <c r="AP14" i="1"/>
  <c r="AP27" i="1"/>
  <c r="AP24" i="1"/>
  <c r="AP29" i="1"/>
  <c r="AP16" i="1"/>
  <c r="AY6" i="1"/>
  <c r="AM6" i="1"/>
  <c r="AP22" i="1"/>
  <c r="AP10" i="1"/>
  <c r="AJ6" i="1"/>
  <c r="AK6" i="1"/>
  <c r="AP28" i="1"/>
  <c r="AR6" i="1"/>
  <c r="AP19" i="1"/>
  <c r="AZ6" i="1"/>
  <c r="AP6" i="1"/>
  <c r="BA6" i="1"/>
  <c r="AD30" i="1"/>
  <c r="AC30" i="1"/>
  <c r="AY26" i="1" l="1"/>
  <c r="AY11" i="1"/>
  <c r="AY15" i="1"/>
  <c r="AY16" i="1"/>
  <c r="AY19" i="1"/>
  <c r="AY17" i="1"/>
  <c r="AY18" i="1"/>
  <c r="AY10" i="1"/>
  <c r="AY13" i="1"/>
  <c r="AY22" i="1"/>
  <c r="AY12" i="1"/>
  <c r="AY20" i="1"/>
  <c r="AY21" i="1"/>
  <c r="AY24" i="1"/>
  <c r="AY25" i="1"/>
  <c r="AY14" i="1"/>
  <c r="AY27" i="1"/>
  <c r="AY23" i="1"/>
  <c r="AY29" i="1"/>
  <c r="AY28" i="1"/>
  <c r="BC18" i="1"/>
  <c r="BC17" i="1"/>
  <c r="BC23" i="1"/>
  <c r="BC29" i="1"/>
  <c r="BC11" i="1"/>
  <c r="BC19" i="1"/>
  <c r="BC16" i="1"/>
  <c r="BC27" i="1"/>
  <c r="BC13" i="1"/>
  <c r="BC15" i="1"/>
  <c r="BC14" i="1"/>
  <c r="BC22" i="1"/>
  <c r="BC12" i="1"/>
  <c r="BC10" i="1"/>
  <c r="BC21" i="1"/>
  <c r="BC26" i="1"/>
  <c r="BC28" i="1"/>
  <c r="BC20" i="1"/>
  <c r="BC24" i="1"/>
  <c r="BC25" i="1"/>
  <c r="AN10" i="1"/>
  <c r="AN20" i="1"/>
  <c r="AN26" i="1"/>
  <c r="AN22" i="1"/>
  <c r="AN28" i="1"/>
  <c r="AN18" i="1"/>
  <c r="AN29" i="1"/>
  <c r="AN16" i="1"/>
  <c r="AN23" i="1"/>
  <c r="AN27" i="1"/>
  <c r="AN15" i="1"/>
  <c r="AN14" i="1"/>
  <c r="AN24" i="1"/>
  <c r="AN13" i="1"/>
  <c r="AN11" i="1"/>
  <c r="AN21" i="1"/>
  <c r="AN25" i="1"/>
  <c r="AN19" i="1"/>
  <c r="AN12" i="1"/>
  <c r="AN17" i="1"/>
  <c r="BB14" i="1"/>
  <c r="BB16" i="1"/>
  <c r="BB23" i="1"/>
  <c r="BB11" i="1"/>
  <c r="BB29" i="1"/>
  <c r="BB18" i="1"/>
  <c r="BB24" i="1"/>
  <c r="BB17" i="1"/>
  <c r="BB15" i="1"/>
  <c r="BB12" i="1"/>
  <c r="BB10" i="1"/>
  <c r="BB22" i="1"/>
  <c r="BB27" i="1"/>
  <c r="BB13" i="1"/>
  <c r="BB20" i="1"/>
  <c r="BB28" i="1"/>
  <c r="BB19" i="1"/>
  <c r="BB21" i="1"/>
  <c r="BB25" i="1"/>
  <c r="BB26" i="1"/>
  <c r="AW16" i="1"/>
  <c r="AW17" i="1"/>
  <c r="AW10" i="1"/>
  <c r="AW19" i="1"/>
  <c r="AW23" i="1"/>
  <c r="AW15" i="1"/>
  <c r="AW22" i="1"/>
  <c r="AW12" i="1"/>
  <c r="AW18" i="1"/>
  <c r="AW24" i="1"/>
  <c r="AW20" i="1"/>
  <c r="AW13" i="1"/>
  <c r="AW14" i="1"/>
  <c r="AW25" i="1"/>
  <c r="AW21" i="1"/>
  <c r="AW28" i="1"/>
  <c r="AW27" i="1"/>
  <c r="AW26" i="1"/>
  <c r="AW11" i="1"/>
  <c r="AW29" i="1"/>
  <c r="AQ28" i="1"/>
  <c r="AQ29" i="1"/>
  <c r="AQ19" i="1"/>
  <c r="AQ10" i="1"/>
  <c r="AQ26" i="1"/>
  <c r="AQ22" i="1"/>
  <c r="AQ23" i="1"/>
  <c r="AQ13" i="1"/>
  <c r="AQ21" i="1"/>
  <c r="AQ25" i="1"/>
  <c r="AQ18" i="1"/>
  <c r="AQ24" i="1"/>
  <c r="AQ14" i="1"/>
  <c r="AQ27" i="1"/>
  <c r="AQ15" i="1"/>
  <c r="AQ11" i="1"/>
  <c r="AQ17" i="1"/>
  <c r="AQ12" i="1"/>
  <c r="AQ20" i="1"/>
  <c r="AQ16" i="1"/>
  <c r="AO25" i="1"/>
  <c r="AO10" i="1"/>
  <c r="AO17" i="1"/>
  <c r="AO18" i="1"/>
  <c r="AO22" i="1"/>
  <c r="AO15" i="1"/>
  <c r="AO26" i="1"/>
  <c r="AO28" i="1"/>
  <c r="AO29" i="1"/>
  <c r="AO27" i="1"/>
  <c r="AO14" i="1"/>
  <c r="AO13" i="1"/>
  <c r="AO11" i="1"/>
  <c r="AO24" i="1"/>
  <c r="AO19" i="1"/>
  <c r="AO12" i="1"/>
  <c r="AO21" i="1"/>
  <c r="AO20" i="1"/>
  <c r="AO23" i="1"/>
  <c r="AO16" i="1"/>
  <c r="BA29" i="1"/>
  <c r="BA19" i="1"/>
  <c r="BA28" i="1"/>
  <c r="BA11" i="1"/>
  <c r="BA26" i="1"/>
  <c r="BA27" i="1"/>
  <c r="BA16" i="1"/>
  <c r="BA15" i="1"/>
  <c r="BA18" i="1"/>
  <c r="BA12" i="1"/>
  <c r="BA10" i="1"/>
  <c r="BA22" i="1"/>
  <c r="BA21" i="1"/>
  <c r="BA13" i="1"/>
  <c r="BA20" i="1"/>
  <c r="BA24" i="1"/>
  <c r="BA25" i="1"/>
  <c r="BA17" i="1"/>
  <c r="BA14" i="1"/>
  <c r="BA23" i="1"/>
  <c r="AR19" i="1"/>
  <c r="AR23" i="1"/>
  <c r="AR29" i="1"/>
  <c r="AR28" i="1"/>
  <c r="AR13" i="1"/>
  <c r="AR22" i="1"/>
  <c r="AR10" i="1"/>
  <c r="AR16" i="1"/>
  <c r="AR15" i="1"/>
  <c r="AR25" i="1"/>
  <c r="AR27" i="1"/>
  <c r="AR18" i="1"/>
  <c r="AR14" i="1"/>
  <c r="AR21" i="1"/>
  <c r="AR24" i="1"/>
  <c r="AR11" i="1"/>
  <c r="AR17" i="1"/>
  <c r="AR12" i="1"/>
  <c r="AR26" i="1"/>
  <c r="AR20" i="1"/>
  <c r="AS26" i="1"/>
  <c r="AS23" i="1"/>
  <c r="AS28" i="1"/>
  <c r="AS29" i="1"/>
  <c r="AS22" i="1"/>
  <c r="AS10" i="1"/>
  <c r="AS18" i="1"/>
  <c r="AS16" i="1"/>
  <c r="AS21" i="1"/>
  <c r="AS27" i="1"/>
  <c r="AS13" i="1"/>
  <c r="AS25" i="1"/>
  <c r="AS15" i="1"/>
  <c r="AS14" i="1"/>
  <c r="AS12" i="1"/>
  <c r="AS11" i="1"/>
  <c r="AS24" i="1"/>
  <c r="AS20" i="1"/>
  <c r="AS17" i="1"/>
  <c r="AS19" i="1"/>
  <c r="AV17" i="1"/>
  <c r="AV10" i="1"/>
  <c r="AV19" i="1"/>
  <c r="AV13" i="1"/>
  <c r="AV18" i="1"/>
  <c r="AV24" i="1"/>
  <c r="AV12" i="1"/>
  <c r="AV21" i="1"/>
  <c r="AV23" i="1"/>
  <c r="AV22" i="1"/>
  <c r="AV20" i="1"/>
  <c r="AV16" i="1"/>
  <c r="AV25" i="1"/>
  <c r="AV28" i="1"/>
  <c r="AV27" i="1"/>
  <c r="AV15" i="1"/>
  <c r="AV29" i="1"/>
  <c r="AV14" i="1"/>
  <c r="AV11" i="1"/>
  <c r="AV26" i="1"/>
  <c r="AZ26" i="1"/>
  <c r="AZ11" i="1"/>
  <c r="AZ13" i="1"/>
  <c r="AZ10" i="1"/>
  <c r="AZ15" i="1"/>
  <c r="AZ17" i="1"/>
  <c r="AZ21" i="1"/>
  <c r="AZ18" i="1"/>
  <c r="AZ16" i="1"/>
  <c r="AZ29" i="1"/>
  <c r="AZ27" i="1"/>
  <c r="AZ12" i="1"/>
  <c r="AZ22" i="1"/>
  <c r="AZ24" i="1"/>
  <c r="AZ20" i="1"/>
  <c r="AZ19" i="1"/>
  <c r="AZ28" i="1"/>
  <c r="AZ25" i="1"/>
  <c r="AZ23" i="1"/>
  <c r="AZ14" i="1"/>
  <c r="AU17" i="1"/>
  <c r="AU18" i="1"/>
  <c r="AU13" i="1"/>
  <c r="AU16" i="1"/>
  <c r="AU29" i="1"/>
  <c r="AU10" i="1"/>
  <c r="AU21" i="1"/>
  <c r="AU12" i="1"/>
  <c r="AU23" i="1"/>
  <c r="AU24" i="1"/>
  <c r="AU22" i="1"/>
  <c r="AU20" i="1"/>
  <c r="AU27" i="1"/>
  <c r="AU15" i="1"/>
  <c r="AU25" i="1"/>
  <c r="AU28" i="1"/>
  <c r="AU26" i="1"/>
  <c r="AU14" i="1"/>
  <c r="AU11" i="1"/>
  <c r="AU19" i="1"/>
  <c r="AT19" i="1"/>
  <c r="AT13" i="1"/>
  <c r="AT15" i="1"/>
  <c r="AT18" i="1"/>
  <c r="AT23" i="1"/>
  <c r="AT26" i="1"/>
  <c r="AT22" i="1"/>
  <c r="AT10" i="1"/>
  <c r="AT16" i="1"/>
  <c r="AT25" i="1"/>
  <c r="AT12" i="1"/>
  <c r="AT27" i="1"/>
  <c r="AT21" i="1"/>
  <c r="AT14" i="1"/>
  <c r="AT28" i="1"/>
  <c r="AT11" i="1"/>
  <c r="AT24" i="1"/>
  <c r="AT29" i="1"/>
  <c r="AT17" i="1"/>
  <c r="AT20" i="1"/>
  <c r="AM20" i="1"/>
  <c r="AM22" i="1"/>
  <c r="AM16" i="1"/>
  <c r="AM13" i="1"/>
  <c r="AM23" i="1"/>
  <c r="AM17" i="1"/>
  <c r="AM18" i="1"/>
  <c r="AM27" i="1"/>
  <c r="AM14" i="1"/>
  <c r="AM10" i="1"/>
  <c r="AM15" i="1"/>
  <c r="AM11" i="1"/>
  <c r="AM25" i="1"/>
  <c r="AM21" i="1"/>
  <c r="AM24" i="1"/>
  <c r="AM12" i="1"/>
  <c r="AM26" i="1"/>
  <c r="AM19" i="1"/>
  <c r="AM28" i="1"/>
  <c r="AM29" i="1"/>
  <c r="AL17" i="1"/>
  <c r="AL20" i="1"/>
  <c r="AL25" i="1"/>
  <c r="AL29" i="1"/>
  <c r="AL16" i="1"/>
  <c r="AL28" i="1"/>
  <c r="AL26" i="1"/>
  <c r="AL27" i="1"/>
  <c r="AL10" i="1"/>
  <c r="AL13" i="1"/>
  <c r="AL21" i="1"/>
  <c r="AL18" i="1"/>
  <c r="AL11" i="1"/>
  <c r="AL24" i="1"/>
  <c r="AL22" i="1"/>
  <c r="AL15" i="1"/>
  <c r="AL12" i="1"/>
  <c r="AL19" i="1"/>
  <c r="AL14" i="1"/>
  <c r="AL23" i="1"/>
  <c r="AJ7" i="1"/>
  <c r="AK16" i="1"/>
  <c r="AK26" i="1"/>
  <c r="AK29" i="1"/>
  <c r="AK22" i="1"/>
  <c r="AK17" i="1"/>
  <c r="AK10" i="1"/>
  <c r="AK27" i="1"/>
  <c r="AK23" i="1"/>
  <c r="AK13" i="1"/>
  <c r="AK24" i="1"/>
  <c r="AK21" i="1"/>
  <c r="AK18" i="1"/>
  <c r="AK25" i="1"/>
  <c r="AK11" i="1"/>
  <c r="AK12" i="1"/>
  <c r="AK15" i="1"/>
  <c r="AK14" i="1"/>
  <c r="AK28" i="1"/>
  <c r="AK19" i="1"/>
  <c r="AK20" i="1"/>
  <c r="AX18" i="1"/>
  <c r="AX17" i="1"/>
  <c r="AX15" i="1"/>
  <c r="AX19" i="1"/>
  <c r="AX13" i="1"/>
  <c r="AX16" i="1"/>
  <c r="AX29" i="1"/>
  <c r="AX23" i="1"/>
  <c r="AX12" i="1"/>
  <c r="AX22" i="1"/>
  <c r="AX10" i="1"/>
  <c r="AX20" i="1"/>
  <c r="AX28" i="1"/>
  <c r="AX24" i="1"/>
  <c r="AX21" i="1"/>
  <c r="AX26" i="1"/>
  <c r="AX25" i="1"/>
  <c r="AX27" i="1"/>
  <c r="AX14" i="1"/>
  <c r="AX11" i="1"/>
  <c r="AB29" i="1"/>
  <c r="BD36" i="1" l="1"/>
  <c r="B29" i="1"/>
  <c r="D9" i="1" s="1"/>
  <c r="D11" i="1" l="1"/>
  <c r="D25" i="1"/>
  <c r="D24" i="1"/>
  <c r="D23" i="1"/>
  <c r="D20" i="1"/>
  <c r="D12" i="1"/>
  <c r="D17" i="1"/>
  <c r="D19" i="1"/>
  <c r="D28" i="1"/>
  <c r="D16" i="1"/>
  <c r="D27" i="1"/>
  <c r="D15" i="1"/>
  <c r="D26" i="1"/>
  <c r="D18" i="1"/>
  <c r="D10" i="1"/>
  <c r="D22" i="1"/>
  <c r="D14" i="1"/>
  <c r="D21" i="1"/>
  <c r="D13" i="1"/>
  <c r="D29" i="1" l="1"/>
</calcChain>
</file>

<file path=xl/sharedStrings.xml><?xml version="1.0" encoding="utf-8"?>
<sst xmlns="http://schemas.openxmlformats.org/spreadsheetml/2006/main" count="44" uniqueCount="35">
  <si>
    <t>Codec</t>
  </si>
  <si>
    <t>G.711</t>
  </si>
  <si>
    <t>Распределение абонентов по узлам сети</t>
  </si>
  <si>
    <t>Всего</t>
  </si>
  <si>
    <t>Ki</t>
  </si>
  <si>
    <t>L</t>
  </si>
  <si>
    <t>байт</t>
  </si>
  <si>
    <t>с</t>
  </si>
  <si>
    <t>шт.</t>
  </si>
  <si>
    <t>Эрл</t>
  </si>
  <si>
    <t>-</t>
  </si>
  <si>
    <t>Матрица расстояний</t>
  </si>
  <si>
    <t>Параметры сети (исходные данные)</t>
  </si>
  <si>
    <t>a</t>
  </si>
  <si>
    <t>b</t>
  </si>
  <si>
    <t>p</t>
  </si>
  <si>
    <t>n</t>
  </si>
  <si>
    <t>бит/с</t>
  </si>
  <si>
    <t>Код задания</t>
  </si>
  <si>
    <t>q</t>
  </si>
  <si>
    <t>%</t>
  </si>
  <si>
    <r>
      <rPr>
        <i/>
        <sz val="14"/>
        <color theme="1"/>
        <rFont val="Calibri"/>
        <family val="2"/>
        <charset val="204"/>
        <scheme val="minor"/>
      </rPr>
      <t>y</t>
    </r>
    <r>
      <rPr>
        <b/>
        <sz val="11"/>
        <color theme="1"/>
        <rFont val="Calibri"/>
        <family val="2"/>
        <charset val="204"/>
        <scheme val="minor"/>
      </rPr>
      <t>0</t>
    </r>
  </si>
  <si>
    <r>
      <rPr>
        <i/>
        <sz val="14"/>
        <color theme="1"/>
        <rFont val="Calibri"/>
        <family val="2"/>
        <charset val="204"/>
        <scheme val="minor"/>
      </rPr>
      <t>a</t>
    </r>
    <r>
      <rPr>
        <b/>
        <sz val="8"/>
        <color theme="1"/>
        <rFont val="Calibri"/>
        <family val="2"/>
        <charset val="204"/>
        <scheme val="minor"/>
      </rPr>
      <t>0</t>
    </r>
  </si>
  <si>
    <r>
      <rPr>
        <i/>
        <sz val="11"/>
        <color theme="1"/>
        <rFont val="Calibri"/>
        <family val="2"/>
        <charset val="204"/>
        <scheme val="minor"/>
      </rPr>
      <t>T</t>
    </r>
    <r>
      <rPr>
        <b/>
        <sz val="8"/>
        <color theme="1"/>
        <rFont val="Calibri"/>
        <family val="2"/>
        <charset val="204"/>
        <scheme val="minor"/>
      </rPr>
      <t>0</t>
    </r>
  </si>
  <si>
    <t>Абонентов</t>
  </si>
  <si>
    <t>Сумма</t>
  </si>
  <si>
    <t>коэффициентов распределения трафика по направлениям связи</t>
  </si>
  <si>
    <t>интенсивности производимого в узлах сети трафика</t>
  </si>
  <si>
    <t>Матрица интенсивностей трафика в направлениях связи</t>
  </si>
  <si>
    <t>Матрица кратчайших маршрутов</t>
  </si>
  <si>
    <t>Матрица интенсивности нагрузки на линиях связи</t>
  </si>
  <si>
    <t>Матрица количества потоков</t>
  </si>
  <si>
    <t>Матрица трафика для линий связи</t>
  </si>
  <si>
    <t>Матрица пропускной способности для линий связи.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</si>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</sst>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1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i/>
      <sz val="14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8" fillId="7" borderId="0" applyNumberFormat="0" applyBorder="0" applyAlignment="0" applyProtection="0"/>
  </cellStyleXfs>
  <cellXfs count="59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3" xfId="0" applyBorder="1"/>
    <xf numFmtId="0" fontId="1" fillId="2" borderId="2" xfId="0" applyFont="1" applyFill="1" applyBorder="1"/>
    <xf numFmtId="0" fontId="1" fillId="2" borderId="10" xfId="0" applyFont="1" applyFill="1" applyBorder="1"/>
    <xf numFmtId="0" fontId="0" fillId="3" borderId="2" xfId="0" applyFont="1" applyFill="1" applyBorder="1"/>
    <xf numFmtId="0" fontId="0" fillId="3" borderId="2" xfId="0" applyFont="1" applyFill="1" applyBorder="1" applyAlignment="1">
      <alignment horizontal="right"/>
    </xf>
    <xf numFmtId="0" fontId="0" fillId="2" borderId="3" xfId="0" applyFill="1" applyBorder="1"/>
    <xf numFmtId="0" fontId="0" fillId="2" borderId="1" xfId="0" applyFill="1" applyBorder="1"/>
    <xf numFmtId="0" fontId="0" fillId="3" borderId="3" xfId="0" applyFill="1" applyBorder="1"/>
    <xf numFmtId="0" fontId="0" fillId="3" borderId="1" xfId="0" applyFill="1" applyBorder="1"/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0" fillId="0" borderId="11" xfId="0" applyBorder="1"/>
    <xf numFmtId="0" fontId="0" fillId="0" borderId="6" xfId="0" applyBorder="1"/>
    <xf numFmtId="0" fontId="0" fillId="2" borderId="2" xfId="0" applyFill="1" applyBorder="1"/>
    <xf numFmtId="0" fontId="0" fillId="2" borderId="9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13" xfId="0" applyFill="1" applyBorder="1"/>
    <xf numFmtId="0" fontId="0" fillId="2" borderId="12" xfId="0" applyFill="1" applyBorder="1"/>
    <xf numFmtId="0" fontId="0" fillId="2" borderId="5" xfId="0" applyFill="1" applyBorder="1"/>
    <xf numFmtId="0" fontId="0" fillId="2" borderId="15" xfId="0" applyFill="1" applyBorder="1"/>
    <xf numFmtId="0" fontId="0" fillId="0" borderId="14" xfId="0" applyBorder="1" applyAlignment="1">
      <alignment horizontal="center"/>
    </xf>
    <xf numFmtId="0" fontId="0" fillId="0" borderId="0" xfId="0" applyAlignment="1">
      <alignment horizontal="left"/>
    </xf>
    <xf numFmtId="0" fontId="1" fillId="2" borderId="2" xfId="0" applyFont="1" applyFill="1" applyBorder="1" applyAlignment="1">
      <alignment horizontal="right"/>
    </xf>
    <xf numFmtId="0" fontId="0" fillId="3" borderId="2" xfId="0" applyFill="1" applyBorder="1"/>
    <xf numFmtId="164" fontId="0" fillId="0" borderId="15" xfId="0" applyNumberFormat="1" applyBorder="1"/>
    <xf numFmtId="164" fontId="0" fillId="0" borderId="7" xfId="0" applyNumberFormat="1" applyBorder="1"/>
    <xf numFmtId="164" fontId="0" fillId="0" borderId="8" xfId="0" applyNumberFormat="1" applyBorder="1"/>
    <xf numFmtId="0" fontId="2" fillId="0" borderId="0" xfId="0" applyFont="1"/>
    <xf numFmtId="164" fontId="2" fillId="0" borderId="0" xfId="0" applyNumberFormat="1" applyFont="1"/>
    <xf numFmtId="0" fontId="0" fillId="0" borderId="2" xfId="0" applyBorder="1"/>
    <xf numFmtId="0" fontId="0" fillId="0" borderId="16" xfId="0" applyBorder="1"/>
    <xf numFmtId="0" fontId="0" fillId="0" borderId="2" xfId="0" applyFill="1" applyBorder="1"/>
    <xf numFmtId="0" fontId="3" fillId="4" borderId="17" xfId="0" applyFont="1" applyFill="1" applyBorder="1"/>
    <xf numFmtId="0" fontId="3" fillId="4" borderId="18" xfId="0" applyFont="1" applyFill="1" applyBorder="1"/>
    <xf numFmtId="0" fontId="0" fillId="5" borderId="2" xfId="0" applyFill="1" applyBorder="1"/>
    <xf numFmtId="165" fontId="0" fillId="0" borderId="1" xfId="0" applyNumberFormat="1" applyBorder="1"/>
    <xf numFmtId="1" fontId="0" fillId="0" borderId="1" xfId="0" applyNumberFormat="1" applyFill="1" applyBorder="1"/>
    <xf numFmtId="0" fontId="1" fillId="0" borderId="0" xfId="0" applyFont="1" applyFill="1" applyBorder="1" applyAlignment="1">
      <alignment horizontal="right"/>
    </xf>
    <xf numFmtId="11" fontId="0" fillId="0" borderId="0" xfId="0" applyNumberFormat="1" applyFill="1" applyBorder="1"/>
    <xf numFmtId="0" fontId="1" fillId="6" borderId="2" xfId="0" applyFont="1" applyFill="1" applyBorder="1" applyAlignment="1">
      <alignment horizontal="right"/>
    </xf>
    <xf numFmtId="0" fontId="0" fillId="6" borderId="2" xfId="0" applyFill="1" applyBorder="1"/>
    <xf numFmtId="0" fontId="6" fillId="2" borderId="2" xfId="0" applyFont="1" applyFill="1" applyBorder="1"/>
    <xf numFmtId="0" fontId="6" fillId="2" borderId="2" xfId="0" applyFont="1" applyFill="1" applyBorder="1" applyAlignment="1">
      <alignment horizontal="right"/>
    </xf>
    <xf numFmtId="0" fontId="7" fillId="6" borderId="2" xfId="0" applyFont="1" applyFill="1" applyBorder="1" applyAlignment="1">
      <alignment horizontal="right"/>
    </xf>
    <xf numFmtId="2" fontId="0" fillId="6" borderId="2" xfId="0" applyNumberFormat="1" applyFill="1" applyBorder="1"/>
    <xf numFmtId="0" fontId="8" fillId="7" borderId="1" xfId="1" applyBorder="1"/>
    <xf numFmtId="0" fontId="10" fillId="0" borderId="19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6" xfId="0" applyBorder="1" applyAlignment="1">
      <alignment horizontal="center"/>
    </xf>
    <xf numFmtId="0" fontId="11" fillId="0" borderId="19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9" fillId="0" borderId="19" xfId="0" applyFont="1" applyBorder="1" applyAlignment="1">
      <alignment horizontal="center"/>
    </xf>
    <xf numFmtId="0" fontId="0" fillId="0" borderId="21" xfId="0" applyBorder="1" applyAlignment="1">
      <alignment horizontal="center"/>
    </xf>
  </cellXfs>
  <cellStyles count="2">
    <cellStyle name="Обычный" xfId="0" builtinId="0"/>
    <cellStyle name="Хороший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38</xdr:row>
          <xdr:rowOff>0</xdr:rowOff>
        </xdr:from>
        <xdr:to>
          <xdr:col>6</xdr:col>
          <xdr:colOff>0</xdr:colOff>
          <xdr:row>39</xdr:row>
          <xdr:rowOff>47625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FK39"/>
  <sheetViews>
    <sheetView tabSelected="1" topLeftCell="BV4" zoomScale="115" zoomScaleNormal="115" workbookViewId="0">
      <selection activeCell="DS36" sqref="DS36"/>
    </sheetView>
  </sheetViews>
  <sheetFormatPr defaultRowHeight="15" x14ac:dyDescent="0.25"/>
  <cols>
    <col min="2" max="2" width="11.42578125" customWidth="1"/>
    <col min="3" max="3" width="6.7109375" customWidth="1"/>
    <col min="4" max="4" width="7.28515625" customWidth="1"/>
    <col min="5" max="5" width="10.140625" customWidth="1"/>
    <col min="6" max="6" width="9.7109375" customWidth="1"/>
    <col min="7" max="10" width="5.140625" customWidth="1"/>
    <col min="11" max="11" width="5.7109375" customWidth="1"/>
    <col min="12" max="26" width="5.140625" customWidth="1"/>
    <col min="27" max="27" width="5.5703125" customWidth="1"/>
    <col min="29" max="29" width="7.28515625" hidden="1" customWidth="1"/>
    <col min="30" max="31" width="0" hidden="1" customWidth="1"/>
    <col min="35" max="35" width="7.85546875" customWidth="1"/>
    <col min="36" max="56" width="8.85546875" customWidth="1"/>
    <col min="58" max="58" width="13.42578125" customWidth="1"/>
    <col min="59" max="59" width="3.7109375" customWidth="1"/>
    <col min="60" max="60" width="4.85546875" customWidth="1"/>
    <col min="61" max="61" width="4.28515625" customWidth="1"/>
    <col min="62" max="62" width="3.85546875" customWidth="1"/>
    <col min="63" max="63" width="4.28515625" customWidth="1"/>
    <col min="64" max="64" width="4.42578125" customWidth="1"/>
    <col min="65" max="65" width="4.28515625" customWidth="1"/>
    <col min="66" max="66" width="5" customWidth="1"/>
    <col min="67" max="67" width="4.140625" customWidth="1"/>
    <col min="68" max="68" width="4.7109375" customWidth="1"/>
    <col min="69" max="69" width="4.5703125" customWidth="1"/>
    <col min="70" max="70" width="4.28515625" customWidth="1"/>
    <col min="71" max="71" width="4.7109375" customWidth="1"/>
    <col min="72" max="72" width="4.28515625" customWidth="1"/>
    <col min="73" max="73" width="4" customWidth="1"/>
    <col min="74" max="74" width="4.140625" customWidth="1"/>
    <col min="75" max="76" width="4.28515625" customWidth="1"/>
    <col min="77" max="77" width="4.7109375" customWidth="1"/>
    <col min="78" max="78" width="7.7109375" customWidth="1"/>
    <col min="79" max="79" width="7.85546875" customWidth="1"/>
    <col min="81" max="100" width="6" customWidth="1"/>
    <col min="101" max="101" width="7.28515625" customWidth="1"/>
    <col min="102" max="102" width="4.42578125" customWidth="1"/>
    <col min="103" max="122" width="6.28515625" customWidth="1"/>
    <col min="123" max="123" width="7" customWidth="1"/>
    <col min="126" max="126" width="10.5703125" customWidth="1"/>
    <col min="127" max="127" width="10.7109375" customWidth="1"/>
    <col min="128" max="128" width="10.42578125" customWidth="1"/>
    <col min="129" max="129" width="10.5703125" customWidth="1"/>
    <col min="130" max="130" width="10" customWidth="1"/>
    <col min="131" max="131" width="10.28515625" customWidth="1"/>
    <col min="132" max="132" width="10.140625" customWidth="1"/>
    <col min="133" max="133" width="10" customWidth="1"/>
    <col min="134" max="134" width="10.7109375" customWidth="1"/>
    <col min="135" max="135" width="10" customWidth="1"/>
    <col min="136" max="136" width="11" customWidth="1"/>
    <col min="137" max="137" width="10.42578125" customWidth="1"/>
    <col min="138" max="138" width="11.140625" customWidth="1"/>
    <col min="139" max="139" width="10.7109375" customWidth="1"/>
    <col min="140" max="141" width="10.28515625" customWidth="1"/>
    <col min="142" max="142" width="10.5703125" customWidth="1"/>
    <col min="143" max="143" width="10.7109375" customWidth="1"/>
    <col min="144" max="144" width="10.28515625" customWidth="1"/>
    <col min="145" max="145" width="10.5703125" customWidth="1"/>
    <col min="147" max="167" width="10.140625" customWidth="1"/>
  </cols>
  <sheetData>
    <row r="1" spans="1:167" x14ac:dyDescent="0.25">
      <c r="A1" s="1" t="s">
        <v>12</v>
      </c>
    </row>
    <row r="2" spans="1:167" ht="15.75" thickBot="1" x14ac:dyDescent="0.3"/>
    <row r="3" spans="1:167" ht="15.75" thickBot="1" x14ac:dyDescent="0.3">
      <c r="A3" s="45" t="s">
        <v>16</v>
      </c>
      <c r="B3" s="6">
        <v>20</v>
      </c>
      <c r="C3" t="s">
        <v>8</v>
      </c>
      <c r="D3" s="46" t="s">
        <v>5</v>
      </c>
      <c r="E3" s="27">
        <v>200</v>
      </c>
      <c r="F3" t="s">
        <v>6</v>
      </c>
      <c r="AF3" s="56" t="s">
        <v>27</v>
      </c>
      <c r="AG3" s="56"/>
    </row>
    <row r="4" spans="1:167" ht="21.75" thickBot="1" x14ac:dyDescent="0.4">
      <c r="A4" s="4" t="s">
        <v>21</v>
      </c>
      <c r="B4" s="6">
        <v>0.1</v>
      </c>
      <c r="C4" t="s">
        <v>9</v>
      </c>
      <c r="D4" s="26" t="s">
        <v>22</v>
      </c>
      <c r="E4" s="27">
        <v>85600</v>
      </c>
      <c r="F4" s="25" t="s">
        <v>17</v>
      </c>
      <c r="G4" s="41"/>
      <c r="H4" s="42"/>
      <c r="AF4" s="56"/>
      <c r="AG4" s="56"/>
      <c r="AN4" s="54" t="s">
        <v>26</v>
      </c>
      <c r="AO4" s="55"/>
      <c r="AP4" s="55"/>
      <c r="AQ4" s="55"/>
      <c r="AR4" s="55"/>
      <c r="AS4" s="55"/>
      <c r="AT4" s="55"/>
      <c r="AU4" s="55"/>
      <c r="AV4" s="55"/>
      <c r="AW4" s="55"/>
    </row>
    <row r="5" spans="1:167" ht="15.75" thickBot="1" x14ac:dyDescent="0.3">
      <c r="A5" s="5" t="s">
        <v>0</v>
      </c>
      <c r="B5" s="7" t="s">
        <v>1</v>
      </c>
      <c r="C5" t="s">
        <v>10</v>
      </c>
      <c r="D5" s="43" t="s">
        <v>23</v>
      </c>
      <c r="E5" s="48">
        <v>0.1</v>
      </c>
      <c r="F5" t="s">
        <v>7</v>
      </c>
      <c r="AF5" s="56"/>
      <c r="AG5" s="56"/>
      <c r="AI5" s="2">
        <v>1</v>
      </c>
      <c r="AJ5" s="2">
        <v>2</v>
      </c>
      <c r="AK5" s="2">
        <v>3</v>
      </c>
      <c r="AL5" s="2">
        <v>4</v>
      </c>
      <c r="AM5" s="2">
        <v>5</v>
      </c>
      <c r="AN5" s="2">
        <v>6</v>
      </c>
      <c r="AO5" s="2">
        <v>7</v>
      </c>
      <c r="AP5" s="2">
        <v>8</v>
      </c>
      <c r="AQ5" s="2">
        <v>9</v>
      </c>
      <c r="AR5" s="2">
        <v>10</v>
      </c>
      <c r="AS5" s="2">
        <v>11</v>
      </c>
      <c r="AT5" s="2">
        <v>12</v>
      </c>
      <c r="AU5" s="2">
        <v>13</v>
      </c>
      <c r="AV5" s="2">
        <v>14</v>
      </c>
      <c r="AW5" s="2">
        <v>15</v>
      </c>
      <c r="AX5" s="2">
        <v>16</v>
      </c>
      <c r="AY5" s="2">
        <v>17</v>
      </c>
      <c r="AZ5" s="2">
        <v>18</v>
      </c>
      <c r="BA5" s="2">
        <v>19</v>
      </c>
      <c r="BB5" s="2">
        <v>20</v>
      </c>
    </row>
    <row r="6" spans="1:167" ht="15.75" thickBot="1" x14ac:dyDescent="0.3">
      <c r="D6" s="47" t="s">
        <v>19</v>
      </c>
      <c r="E6" s="44">
        <v>98</v>
      </c>
      <c r="F6" t="s">
        <v>20</v>
      </c>
      <c r="AF6" s="2">
        <v>1</v>
      </c>
      <c r="AG6" s="2">
        <f>B9*B$4</f>
        <v>644.90000000000009</v>
      </c>
      <c r="AI6" s="2">
        <f>$AG6/$AG$26</f>
        <v>5.7623574823975128E-2</v>
      </c>
      <c r="AJ6" s="2">
        <f>$AG7/$AG$26</f>
        <v>6.6460559705493416E-2</v>
      </c>
      <c r="AK6" s="2">
        <f>$AG8/$AG$26</f>
        <v>3.013867543514779E-2</v>
      </c>
      <c r="AL6" s="2">
        <f>$AG9/$AG$26</f>
        <v>8.3133778905607789E-2</v>
      </c>
      <c r="AM6" s="2">
        <f>$AG10/$AG$26</f>
        <v>2.6743271739518924E-2</v>
      </c>
      <c r="AN6" s="2">
        <f>$AG11/$AG$26</f>
        <v>8.4125594195646733E-2</v>
      </c>
      <c r="AO6" s="2">
        <f>$AG12/$AG$26</f>
        <v>6.135851888916688E-2</v>
      </c>
      <c r="AP6" s="2">
        <f>$AG13/$AG$26</f>
        <v>7.8621466099574683E-2</v>
      </c>
      <c r="AQ6" s="2">
        <f>$AG14/$AG$26</f>
        <v>3.4159548232603025E-2</v>
      </c>
      <c r="AR6" s="2">
        <f>$AG15/$AG$26</f>
        <v>1.988991743807856E-2</v>
      </c>
      <c r="AS6" s="2">
        <f>$AG16/$AG$26</f>
        <v>7.8469566460559706E-2</v>
      </c>
      <c r="AT6" s="2">
        <f>$AG17/$AG$26</f>
        <v>1.1204832195575254E-2</v>
      </c>
      <c r="AU6" s="2">
        <f>$AG18/$AG$26</f>
        <v>6.3511919654026236E-2</v>
      </c>
      <c r="AV6" s="2">
        <f>$AG19/$AG$26</f>
        <v>6.8569284105936601E-2</v>
      </c>
      <c r="AW6" s="2">
        <f>$AG20/$AG$26</f>
        <v>2.4804317523857179E-2</v>
      </c>
      <c r="AX6" s="2">
        <f>$AG21/$AG$26</f>
        <v>7.6021301690553628E-2</v>
      </c>
      <c r="AY6" s="2">
        <f>$AG22/$AG$26</f>
        <v>1.6869795203545517E-2</v>
      </c>
      <c r="AZ6" s="2">
        <f>$AG23/$AG$26</f>
        <v>2.6421601915722504E-2</v>
      </c>
      <c r="BA6" s="2">
        <f>$AG24/$AG$26</f>
        <v>7.4323599842739202E-2</v>
      </c>
      <c r="BB6" s="2">
        <f>$AG25/$AG$26</f>
        <v>1.754887594267129E-2</v>
      </c>
    </row>
    <row r="7" spans="1:167" ht="15.75" thickBot="1" x14ac:dyDescent="0.3">
      <c r="A7" s="1" t="s">
        <v>2</v>
      </c>
      <c r="G7" s="1" t="s">
        <v>11</v>
      </c>
      <c r="AF7" s="2">
        <v>2</v>
      </c>
      <c r="AG7" s="2">
        <f t="shared" ref="AG7:AG25" si="0">B10*B$4</f>
        <v>743.80000000000007</v>
      </c>
      <c r="AI7" s="2" t="s">
        <v>25</v>
      </c>
      <c r="AJ7" s="2">
        <f>SUM(AI6:BB6)</f>
        <v>1</v>
      </c>
    </row>
    <row r="8" spans="1:167" ht="24" thickBot="1" x14ac:dyDescent="0.4">
      <c r="A8" s="12" t="s">
        <v>16</v>
      </c>
      <c r="B8" s="13" t="s">
        <v>24</v>
      </c>
      <c r="D8" s="24" t="s">
        <v>4</v>
      </c>
      <c r="H8" s="16">
        <v>1</v>
      </c>
      <c r="I8" s="20">
        <v>2</v>
      </c>
      <c r="J8" s="21">
        <v>3</v>
      </c>
      <c r="K8" s="21">
        <v>4</v>
      </c>
      <c r="L8" s="21">
        <v>5</v>
      </c>
      <c r="M8" s="21">
        <v>6</v>
      </c>
      <c r="N8" s="21">
        <v>7</v>
      </c>
      <c r="O8" s="21">
        <v>8</v>
      </c>
      <c r="P8" s="21">
        <v>9</v>
      </c>
      <c r="Q8" s="21">
        <v>10</v>
      </c>
      <c r="R8" s="21">
        <v>11</v>
      </c>
      <c r="S8" s="21">
        <v>12</v>
      </c>
      <c r="T8" s="21">
        <v>13</v>
      </c>
      <c r="U8" s="21">
        <v>14</v>
      </c>
      <c r="V8" s="21">
        <v>15</v>
      </c>
      <c r="W8" s="21">
        <v>16</v>
      </c>
      <c r="X8" s="21">
        <v>17</v>
      </c>
      <c r="Y8" s="21">
        <v>18</v>
      </c>
      <c r="Z8" s="21">
        <v>19</v>
      </c>
      <c r="AA8" s="22">
        <v>20</v>
      </c>
      <c r="AF8" s="2">
        <v>3</v>
      </c>
      <c r="AG8" s="2">
        <f t="shared" si="0"/>
        <v>337.3</v>
      </c>
      <c r="AP8" s="57" t="s">
        <v>28</v>
      </c>
      <c r="AQ8" s="51"/>
      <c r="AR8" s="51"/>
      <c r="AS8" s="51"/>
      <c r="AT8" s="51"/>
      <c r="AU8" s="51"/>
      <c r="AV8" s="51"/>
      <c r="AW8" s="51"/>
      <c r="AX8" s="51"/>
      <c r="AY8" s="52"/>
      <c r="BL8" s="50" t="s">
        <v>29</v>
      </c>
      <c r="BM8" s="51"/>
      <c r="BN8" s="51"/>
      <c r="BO8" s="51"/>
      <c r="BP8" s="51"/>
      <c r="BQ8" s="51"/>
      <c r="BR8" s="51"/>
      <c r="BS8" s="51"/>
      <c r="BT8" s="51"/>
      <c r="BU8" s="51"/>
      <c r="BV8" s="52"/>
      <c r="CI8" s="58" t="s">
        <v>30</v>
      </c>
      <c r="CJ8" s="58"/>
      <c r="CK8" s="58"/>
      <c r="CL8" s="58"/>
      <c r="CM8" s="58"/>
      <c r="CN8" s="58"/>
      <c r="CO8" s="58"/>
      <c r="CP8" s="58"/>
      <c r="CQ8" s="58"/>
      <c r="CR8" s="58"/>
      <c r="DD8" s="53" t="s">
        <v>31</v>
      </c>
      <c r="DE8" s="51"/>
      <c r="DF8" s="51"/>
      <c r="DG8" s="51"/>
      <c r="DH8" s="51"/>
      <c r="DI8" s="51"/>
      <c r="DJ8" s="51"/>
      <c r="DK8" s="51"/>
      <c r="DL8" s="51"/>
      <c r="DM8" s="51"/>
      <c r="DN8" s="52"/>
      <c r="DZ8" s="50" t="s">
        <v>32</v>
      </c>
      <c r="EA8" s="51"/>
      <c r="EB8" s="51"/>
      <c r="EC8" s="51"/>
      <c r="ED8" s="51"/>
      <c r="EE8" s="51"/>
      <c r="EF8" s="51"/>
      <c r="EG8" s="51"/>
      <c r="EH8" s="51"/>
      <c r="EI8" s="51"/>
      <c r="EJ8" s="52"/>
      <c r="EV8" s="53" t="s">
        <v>33</v>
      </c>
      <c r="EW8" s="51"/>
      <c r="EX8" s="51"/>
      <c r="EY8" s="51"/>
      <c r="EZ8" s="51"/>
      <c r="FA8" s="51"/>
      <c r="FB8" s="51"/>
      <c r="FC8" s="51"/>
      <c r="FD8" s="51"/>
      <c r="FE8" s="51"/>
      <c r="FF8" s="52"/>
      <c r="FI8" t="s">
        <v>34</v>
      </c>
    </row>
    <row r="9" spans="1:167" x14ac:dyDescent="0.25">
      <c r="A9" s="8">
        <v>1</v>
      </c>
      <c r="B9" s="10">
        <v>6449</v>
      </c>
      <c r="D9" s="28">
        <f>B9/$B$29</f>
        <v>5.7623574823975121E-2</v>
      </c>
      <c r="G9" s="23">
        <v>1</v>
      </c>
      <c r="H9" s="14">
        <v>0</v>
      </c>
      <c r="I9" s="3"/>
      <c r="J9" s="3">
        <v>40.50179123878479</v>
      </c>
      <c r="K9" s="3"/>
      <c r="L9" s="3"/>
      <c r="M9" s="3"/>
      <c r="N9" s="3">
        <v>80.135160684585571</v>
      </c>
      <c r="O9" s="3">
        <v>20.125442743301392</v>
      </c>
      <c r="P9" s="3"/>
      <c r="Q9" s="3"/>
      <c r="R9" s="3"/>
      <c r="S9" s="3"/>
      <c r="T9" s="3">
        <v>56.916147470474243</v>
      </c>
      <c r="U9" s="3"/>
      <c r="V9" s="3"/>
      <c r="W9" s="3"/>
      <c r="X9" s="3"/>
      <c r="Y9" s="3"/>
      <c r="Z9" s="3"/>
      <c r="AA9" s="3"/>
      <c r="AC9" s="39">
        <f>SUM(H9:AA9)</f>
        <v>197.678542137146</v>
      </c>
      <c r="AD9" s="2">
        <f>COUNTIF(H9:AA9,"&gt;0")</f>
        <v>4</v>
      </c>
      <c r="AF9" s="2">
        <v>4</v>
      </c>
      <c r="AG9" s="2">
        <f t="shared" si="0"/>
        <v>930.40000000000009</v>
      </c>
      <c r="AJ9" s="2"/>
      <c r="AK9" s="49">
        <v>1</v>
      </c>
      <c r="AL9" s="49">
        <v>2</v>
      </c>
      <c r="AM9" s="49">
        <v>3</v>
      </c>
      <c r="AN9" s="49">
        <v>4</v>
      </c>
      <c r="AO9" s="49">
        <v>5</v>
      </c>
      <c r="AP9" s="49">
        <v>6</v>
      </c>
      <c r="AQ9" s="49">
        <v>7</v>
      </c>
      <c r="AR9" s="49">
        <v>8</v>
      </c>
      <c r="AS9" s="49">
        <v>9</v>
      </c>
      <c r="AT9" s="49">
        <v>10</v>
      </c>
      <c r="AU9" s="49">
        <v>11</v>
      </c>
      <c r="AV9" s="49">
        <v>12</v>
      </c>
      <c r="AW9" s="49">
        <v>13</v>
      </c>
      <c r="AX9" s="49">
        <v>14</v>
      </c>
      <c r="AY9" s="49">
        <v>15</v>
      </c>
      <c r="AZ9" s="49">
        <v>16</v>
      </c>
      <c r="BA9" s="49">
        <v>17</v>
      </c>
      <c r="BB9" s="49">
        <v>18</v>
      </c>
      <c r="BC9" s="49">
        <v>19</v>
      </c>
      <c r="BD9" s="49">
        <v>20</v>
      </c>
      <c r="BG9" s="2"/>
      <c r="BH9" s="49">
        <v>1</v>
      </c>
      <c r="BI9" s="49">
        <v>2</v>
      </c>
      <c r="BJ9" s="49">
        <v>3</v>
      </c>
      <c r="BK9" s="49">
        <v>4</v>
      </c>
      <c r="BL9" s="49">
        <v>5</v>
      </c>
      <c r="BM9" s="49">
        <v>6</v>
      </c>
      <c r="BN9" s="49">
        <v>7</v>
      </c>
      <c r="BO9" s="49">
        <v>8</v>
      </c>
      <c r="BP9" s="49">
        <v>9</v>
      </c>
      <c r="BQ9" s="49">
        <v>10</v>
      </c>
      <c r="BR9" s="49">
        <v>11</v>
      </c>
      <c r="BS9" s="49">
        <v>12</v>
      </c>
      <c r="BT9" s="49">
        <v>13</v>
      </c>
      <c r="BU9" s="49">
        <v>14</v>
      </c>
      <c r="BV9" s="49">
        <v>15</v>
      </c>
      <c r="BW9" s="49">
        <v>16</v>
      </c>
      <c r="BX9" s="49">
        <v>17</v>
      </c>
      <c r="BY9" s="49">
        <v>18</v>
      </c>
      <c r="BZ9" s="49">
        <v>19</v>
      </c>
      <c r="CA9" s="49">
        <v>20</v>
      </c>
      <c r="CC9" s="2"/>
      <c r="CD9" s="49">
        <v>1</v>
      </c>
      <c r="CE9" s="49">
        <v>2</v>
      </c>
      <c r="CF9" s="49">
        <v>3</v>
      </c>
      <c r="CG9" s="49">
        <v>4</v>
      </c>
      <c r="CH9" s="49">
        <v>5</v>
      </c>
      <c r="CI9" s="49">
        <v>6</v>
      </c>
      <c r="CJ9" s="49">
        <v>7</v>
      </c>
      <c r="CK9" s="49">
        <v>8</v>
      </c>
      <c r="CL9" s="49">
        <v>9</v>
      </c>
      <c r="CM9" s="49">
        <v>10</v>
      </c>
      <c r="CN9" s="49">
        <v>11</v>
      </c>
      <c r="CO9" s="49">
        <v>12</v>
      </c>
      <c r="CP9" s="49">
        <v>13</v>
      </c>
      <c r="CQ9" s="49">
        <v>14</v>
      </c>
      <c r="CR9" s="49">
        <v>15</v>
      </c>
      <c r="CS9" s="49">
        <v>16</v>
      </c>
      <c r="CT9" s="49">
        <v>17</v>
      </c>
      <c r="CU9" s="49">
        <v>18</v>
      </c>
      <c r="CV9" s="49">
        <v>19</v>
      </c>
      <c r="CW9" s="49">
        <v>20</v>
      </c>
      <c r="CY9" s="2"/>
      <c r="CZ9" s="49">
        <v>1</v>
      </c>
      <c r="DA9" s="49">
        <v>2</v>
      </c>
      <c r="DB9" s="49">
        <v>3</v>
      </c>
      <c r="DC9" s="49">
        <v>4</v>
      </c>
      <c r="DD9" s="49">
        <v>5</v>
      </c>
      <c r="DE9" s="49">
        <v>6</v>
      </c>
      <c r="DF9" s="49">
        <v>7</v>
      </c>
      <c r="DG9" s="49">
        <v>8</v>
      </c>
      <c r="DH9" s="49">
        <v>9</v>
      </c>
      <c r="DI9" s="49">
        <v>10</v>
      </c>
      <c r="DJ9" s="49">
        <v>11</v>
      </c>
      <c r="DK9" s="49">
        <v>12</v>
      </c>
      <c r="DL9" s="49">
        <v>13</v>
      </c>
      <c r="DM9" s="49">
        <v>14</v>
      </c>
      <c r="DN9" s="49">
        <v>15</v>
      </c>
      <c r="DO9" s="49">
        <v>16</v>
      </c>
      <c r="DP9" s="49">
        <v>17</v>
      </c>
      <c r="DQ9" s="49">
        <v>18</v>
      </c>
      <c r="DR9" s="49">
        <v>19</v>
      </c>
      <c r="DS9" s="49">
        <v>20</v>
      </c>
      <c r="DU9" s="2"/>
      <c r="DV9" s="49">
        <v>1</v>
      </c>
      <c r="DW9" s="49">
        <v>2</v>
      </c>
      <c r="DX9" s="49">
        <v>3</v>
      </c>
      <c r="DY9" s="49">
        <v>4</v>
      </c>
      <c r="DZ9" s="49">
        <v>5</v>
      </c>
      <c r="EA9" s="49">
        <v>6</v>
      </c>
      <c r="EB9" s="49">
        <v>7</v>
      </c>
      <c r="EC9" s="49">
        <v>8</v>
      </c>
      <c r="ED9" s="49">
        <v>9</v>
      </c>
      <c r="EE9" s="49">
        <v>10</v>
      </c>
      <c r="EF9" s="49">
        <v>11</v>
      </c>
      <c r="EG9" s="49">
        <v>12</v>
      </c>
      <c r="EH9" s="49">
        <v>13</v>
      </c>
      <c r="EI9" s="49">
        <v>14</v>
      </c>
      <c r="EJ9" s="49">
        <v>15</v>
      </c>
      <c r="EK9" s="49">
        <v>16</v>
      </c>
      <c r="EL9" s="49">
        <v>17</v>
      </c>
      <c r="EM9" s="49">
        <v>18</v>
      </c>
      <c r="EN9" s="49">
        <v>19</v>
      </c>
      <c r="EO9" s="49">
        <v>20</v>
      </c>
      <c r="EQ9" s="2"/>
      <c r="ER9" s="49">
        <v>1</v>
      </c>
      <c r="ES9" s="49">
        <v>2</v>
      </c>
      <c r="ET9" s="49">
        <v>3</v>
      </c>
      <c r="EU9" s="49">
        <v>4</v>
      </c>
      <c r="EV9" s="49">
        <v>5</v>
      </c>
      <c r="EW9" s="49">
        <v>6</v>
      </c>
      <c r="EX9" s="49">
        <v>7</v>
      </c>
      <c r="EY9" s="49">
        <v>8</v>
      </c>
      <c r="EZ9" s="49">
        <v>9</v>
      </c>
      <c r="FA9" s="49">
        <v>10</v>
      </c>
      <c r="FB9" s="49">
        <v>11</v>
      </c>
      <c r="FC9" s="49">
        <v>12</v>
      </c>
      <c r="FD9" s="49">
        <v>13</v>
      </c>
      <c r="FE9" s="49">
        <v>14</v>
      </c>
      <c r="FF9" s="49">
        <v>15</v>
      </c>
      <c r="FG9" s="49">
        <v>16</v>
      </c>
      <c r="FH9" s="49">
        <v>17</v>
      </c>
      <c r="FI9" s="49">
        <v>18</v>
      </c>
      <c r="FJ9" s="49">
        <v>19</v>
      </c>
      <c r="FK9" s="49">
        <v>20</v>
      </c>
    </row>
    <row r="10" spans="1:167" x14ac:dyDescent="0.25">
      <c r="A10" s="9">
        <v>2</v>
      </c>
      <c r="B10" s="11">
        <v>7438</v>
      </c>
      <c r="D10" s="29">
        <f t="shared" ref="D10:D28" si="1">B10/$B$29</f>
        <v>6.6460559705493402E-2</v>
      </c>
      <c r="G10" s="17">
        <v>2</v>
      </c>
      <c r="H10" s="15"/>
      <c r="I10" s="2">
        <v>0</v>
      </c>
      <c r="J10" s="2"/>
      <c r="K10" s="2">
        <v>56.976383924484253</v>
      </c>
      <c r="L10" s="2"/>
      <c r="M10" s="2"/>
      <c r="N10" s="2">
        <v>87.998789548873901</v>
      </c>
      <c r="O10" s="2">
        <v>49.180859327316284</v>
      </c>
      <c r="P10" s="2"/>
      <c r="Q10" s="2">
        <v>57.4748694896698</v>
      </c>
      <c r="R10" s="2">
        <v>32.028216123580933</v>
      </c>
      <c r="S10" s="2">
        <v>11.917561292648315</v>
      </c>
      <c r="T10" s="2">
        <v>96.019858121871948</v>
      </c>
      <c r="U10" s="2">
        <v>47.274559736251831</v>
      </c>
      <c r="V10" s="2">
        <v>42.683619260787964</v>
      </c>
      <c r="W10" s="2"/>
      <c r="X10" s="2">
        <v>44.285124540328979</v>
      </c>
      <c r="Y10" s="2">
        <v>24.793976545333862</v>
      </c>
      <c r="Z10" s="2"/>
      <c r="AA10" s="2">
        <v>61.487644910812378</v>
      </c>
      <c r="AC10" s="39">
        <f t="shared" ref="AC10:AC28" si="2">SUM(H10:AA10)</f>
        <v>612.12146282196045</v>
      </c>
      <c r="AD10" s="2">
        <f t="shared" ref="AD10:AD28" si="3">COUNTIF(H10:AA10,"&gt;0")</f>
        <v>12</v>
      </c>
      <c r="AF10" s="2">
        <v>5</v>
      </c>
      <c r="AG10" s="2">
        <f t="shared" si="0"/>
        <v>299.3</v>
      </c>
      <c r="AJ10" s="49">
        <v>1</v>
      </c>
      <c r="AK10" s="2">
        <f>$AG6*AI$6</f>
        <v>37.161443403981565</v>
      </c>
      <c r="AL10" s="2">
        <f t="shared" ref="AL10:BD10" si="4">$AG6*AJ$6</f>
        <v>42.860414954072709</v>
      </c>
      <c r="AM10" s="2">
        <f t="shared" si="4"/>
        <v>19.436431788126811</v>
      </c>
      <c r="AN10" s="2">
        <f t="shared" si="4"/>
        <v>53.612974016226474</v>
      </c>
      <c r="AO10" s="2">
        <f t="shared" si="4"/>
        <v>17.246735944815757</v>
      </c>
      <c r="AP10" s="2">
        <f t="shared" si="4"/>
        <v>54.252595696772588</v>
      </c>
      <c r="AQ10" s="2">
        <f t="shared" si="4"/>
        <v>39.570108831623727</v>
      </c>
      <c r="AR10" s="2">
        <f t="shared" si="4"/>
        <v>50.702983487615718</v>
      </c>
      <c r="AS10" s="2">
        <f t="shared" si="4"/>
        <v>22.029492655205694</v>
      </c>
      <c r="AT10" s="2">
        <f t="shared" si="4"/>
        <v>12.827007755816865</v>
      </c>
      <c r="AU10" s="2">
        <f t="shared" si="4"/>
        <v>50.605023410414958</v>
      </c>
      <c r="AV10" s="2">
        <f t="shared" si="4"/>
        <v>7.2259962829264817</v>
      </c>
      <c r="AW10" s="2">
        <f t="shared" si="4"/>
        <v>40.958836984881522</v>
      </c>
      <c r="AX10" s="2">
        <f t="shared" si="4"/>
        <v>44.220331319918522</v>
      </c>
      <c r="AY10" s="2">
        <f t="shared" si="4"/>
        <v>15.996304371135498</v>
      </c>
      <c r="AZ10" s="2">
        <f t="shared" si="4"/>
        <v>49.02613746023804</v>
      </c>
      <c r="BA10" s="2">
        <f t="shared" si="4"/>
        <v>10.879330926766505</v>
      </c>
      <c r="BB10" s="2">
        <f t="shared" si="4"/>
        <v>17.039291075449444</v>
      </c>
      <c r="BC10" s="2">
        <f t="shared" si="4"/>
        <v>47.931289538582519</v>
      </c>
      <c r="BD10" s="2">
        <f t="shared" si="4"/>
        <v>11.317270095428716</v>
      </c>
      <c r="BG10" s="49">
        <v>1</v>
      </c>
      <c r="BH10" s="2">
        <v>1</v>
      </c>
      <c r="BI10" s="2">
        <v>2</v>
      </c>
      <c r="BJ10" s="2">
        <v>2</v>
      </c>
      <c r="BK10" s="2">
        <v>4</v>
      </c>
      <c r="BL10" s="2">
        <v>2</v>
      </c>
      <c r="BM10" s="2">
        <v>2</v>
      </c>
      <c r="BN10" s="2">
        <v>2</v>
      </c>
      <c r="BO10" s="2">
        <v>2</v>
      </c>
      <c r="BP10" s="2">
        <v>4</v>
      </c>
      <c r="BQ10" s="2">
        <v>2</v>
      </c>
      <c r="BR10" s="2">
        <v>2</v>
      </c>
      <c r="BS10" s="2">
        <v>2</v>
      </c>
      <c r="BT10" s="2">
        <v>2</v>
      </c>
      <c r="BU10" s="2">
        <v>2</v>
      </c>
      <c r="BV10" s="2">
        <v>2</v>
      </c>
      <c r="BW10" s="2">
        <v>2</v>
      </c>
      <c r="BX10" s="2">
        <v>17</v>
      </c>
      <c r="BY10" s="2">
        <v>2</v>
      </c>
      <c r="BZ10" s="2">
        <v>2</v>
      </c>
      <c r="CA10" s="2">
        <v>2</v>
      </c>
      <c r="CC10" s="49">
        <v>1</v>
      </c>
      <c r="CD10" s="2">
        <v>1.4147394917271381</v>
      </c>
      <c r="CE10" s="2">
        <v>739.37038410093851</v>
      </c>
      <c r="CF10" s="2">
        <v>0</v>
      </c>
      <c r="CG10" s="2">
        <v>133.3305416592066</v>
      </c>
      <c r="CH10" s="2">
        <v>0</v>
      </c>
      <c r="CI10" s="2">
        <v>0</v>
      </c>
      <c r="CJ10" s="2">
        <v>0</v>
      </c>
      <c r="CK10" s="2">
        <v>0</v>
      </c>
      <c r="CL10" s="2">
        <v>0</v>
      </c>
      <c r="CM10" s="2">
        <v>0</v>
      </c>
      <c r="CN10" s="2">
        <v>0</v>
      </c>
      <c r="CO10" s="2">
        <v>0</v>
      </c>
      <c r="CP10" s="2">
        <v>0</v>
      </c>
      <c r="CQ10" s="2">
        <v>0</v>
      </c>
      <c r="CR10" s="2">
        <v>0</v>
      </c>
      <c r="CS10" s="2">
        <v>0</v>
      </c>
      <c r="CT10" s="2">
        <v>641.90786632823949</v>
      </c>
      <c r="CU10" s="2">
        <v>0</v>
      </c>
      <c r="CV10" s="2">
        <v>0</v>
      </c>
      <c r="CW10" s="2">
        <v>0</v>
      </c>
      <c r="CY10" s="49">
        <v>1</v>
      </c>
      <c r="CZ10" s="2">
        <v>5</v>
      </c>
      <c r="DA10" s="2">
        <v>751</v>
      </c>
      <c r="DB10" s="2">
        <v>0</v>
      </c>
      <c r="DC10" s="2">
        <v>147</v>
      </c>
      <c r="DD10" s="2">
        <v>0</v>
      </c>
      <c r="DE10" s="2">
        <v>0</v>
      </c>
      <c r="DF10" s="2">
        <v>0</v>
      </c>
      <c r="DG10" s="2">
        <v>0</v>
      </c>
      <c r="DH10" s="2">
        <v>0</v>
      </c>
      <c r="DI10" s="2">
        <v>0</v>
      </c>
      <c r="DJ10" s="2">
        <v>0</v>
      </c>
      <c r="DK10" s="2">
        <v>0</v>
      </c>
      <c r="DL10" s="2">
        <v>0</v>
      </c>
      <c r="DM10" s="2">
        <v>0</v>
      </c>
      <c r="DN10" s="2">
        <v>0</v>
      </c>
      <c r="DO10" s="2">
        <v>0</v>
      </c>
      <c r="DP10" s="2">
        <v>655</v>
      </c>
      <c r="DQ10" s="2">
        <v>0</v>
      </c>
      <c r="DR10" s="2">
        <v>0</v>
      </c>
      <c r="DS10" s="2">
        <v>0</v>
      </c>
      <c r="DU10" s="49">
        <v>1</v>
      </c>
      <c r="DV10" s="2">
        <v>428000</v>
      </c>
      <c r="DW10" s="2">
        <v>64285600</v>
      </c>
      <c r="DX10" s="2">
        <v>0</v>
      </c>
      <c r="DY10" s="2">
        <v>12583200</v>
      </c>
      <c r="DZ10" s="2">
        <v>0</v>
      </c>
      <c r="EA10" s="2">
        <v>0</v>
      </c>
      <c r="EB10" s="2">
        <v>0</v>
      </c>
      <c r="EC10" s="2">
        <v>0</v>
      </c>
      <c r="ED10" s="2">
        <v>0</v>
      </c>
      <c r="EE10" s="2">
        <v>0</v>
      </c>
      <c r="EF10" s="2">
        <v>0</v>
      </c>
      <c r="EG10" s="2">
        <v>0</v>
      </c>
      <c r="EH10" s="2">
        <v>0</v>
      </c>
      <c r="EI10" s="2">
        <v>0</v>
      </c>
      <c r="EJ10" s="2">
        <v>0</v>
      </c>
      <c r="EK10" s="2">
        <v>0</v>
      </c>
      <c r="EL10" s="2">
        <v>56068000</v>
      </c>
      <c r="EM10" s="2">
        <v>0</v>
      </c>
      <c r="EN10" s="2">
        <v>0</v>
      </c>
      <c r="EO10" s="2">
        <v>0</v>
      </c>
      <c r="EQ10" s="49">
        <v>1</v>
      </c>
      <c r="ER10" s="2">
        <v>444000</v>
      </c>
      <c r="ES10" s="2">
        <v>64301600</v>
      </c>
      <c r="ET10" s="2">
        <v>0</v>
      </c>
      <c r="EU10" s="2">
        <v>12599200</v>
      </c>
      <c r="EV10" s="2">
        <v>0</v>
      </c>
      <c r="EW10" s="2">
        <v>0</v>
      </c>
      <c r="EX10" s="2">
        <v>0</v>
      </c>
      <c r="EY10" s="2">
        <v>0</v>
      </c>
      <c r="EZ10" s="2">
        <v>0</v>
      </c>
      <c r="FA10" s="2">
        <v>0</v>
      </c>
      <c r="FB10" s="2">
        <v>0</v>
      </c>
      <c r="FC10" s="2">
        <v>0</v>
      </c>
      <c r="FD10" s="2">
        <v>0</v>
      </c>
      <c r="FE10" s="2">
        <v>0</v>
      </c>
      <c r="FF10" s="2">
        <v>0</v>
      </c>
      <c r="FG10" s="2">
        <v>0</v>
      </c>
      <c r="FH10" s="2">
        <v>56084000</v>
      </c>
      <c r="FI10" s="2">
        <v>0</v>
      </c>
      <c r="FJ10" s="2">
        <v>0</v>
      </c>
      <c r="FK10" s="2">
        <v>0</v>
      </c>
    </row>
    <row r="11" spans="1:167" x14ac:dyDescent="0.25">
      <c r="A11" s="9">
        <v>3</v>
      </c>
      <c r="B11" s="11">
        <v>3373</v>
      </c>
      <c r="D11" s="29">
        <f t="shared" si="1"/>
        <v>3.013867543514779E-2</v>
      </c>
      <c r="G11" s="18">
        <v>3</v>
      </c>
      <c r="H11" s="15">
        <v>40.50179123878479</v>
      </c>
      <c r="I11" s="2"/>
      <c r="J11" s="2">
        <v>0</v>
      </c>
      <c r="K11" s="2">
        <v>25.297337770462036</v>
      </c>
      <c r="L11" s="2">
        <v>22.928458452224731</v>
      </c>
      <c r="M11" s="2"/>
      <c r="N11" s="2">
        <v>45.026332139968872</v>
      </c>
      <c r="O11" s="2"/>
      <c r="P11" s="2">
        <v>72.501403093338013</v>
      </c>
      <c r="Q11" s="2">
        <v>1.463395357131958</v>
      </c>
      <c r="R11" s="2"/>
      <c r="S11" s="2">
        <v>73.674184083938599</v>
      </c>
      <c r="T11" s="2"/>
      <c r="U11" s="2"/>
      <c r="V11" s="2"/>
      <c r="W11" s="2"/>
      <c r="X11" s="2"/>
      <c r="Y11" s="2">
        <v>11.241608858108521</v>
      </c>
      <c r="Z11" s="2">
        <v>4.2065918445587158</v>
      </c>
      <c r="AA11" s="2">
        <v>73.711186647415161</v>
      </c>
      <c r="AC11" s="39">
        <f t="shared" si="2"/>
        <v>370.5522894859314</v>
      </c>
      <c r="AD11" s="2">
        <f t="shared" si="3"/>
        <v>10</v>
      </c>
      <c r="AF11" s="2">
        <v>6</v>
      </c>
      <c r="AG11" s="2">
        <f t="shared" si="0"/>
        <v>941.5</v>
      </c>
      <c r="AJ11" s="49">
        <v>2</v>
      </c>
      <c r="AK11" s="2">
        <f t="shared" ref="AK11:AK29" si="5">$AG7*AI$6</f>
        <v>42.860414954072702</v>
      </c>
      <c r="AL11" s="2">
        <f t="shared" ref="AL11:AL29" si="6">$AG7*AJ$6</f>
        <v>49.433364308946004</v>
      </c>
      <c r="AM11" s="2">
        <f t="shared" ref="AM11:AM29" si="7">$AG7*AK$6</f>
        <v>22.417146788662929</v>
      </c>
      <c r="AN11" s="2">
        <f t="shared" ref="AN11:AN29" si="8">$AG7*AL$6</f>
        <v>61.834904749991075</v>
      </c>
      <c r="AO11" s="2">
        <f t="shared" ref="AO11:AO29" si="9">$AG7*AM$6</f>
        <v>19.891645519854176</v>
      </c>
      <c r="AP11" s="2">
        <f t="shared" ref="AP11:AP29" si="10">$AG7*AN$6</f>
        <v>62.572616962722044</v>
      </c>
      <c r="AQ11" s="2">
        <f t="shared" ref="AQ11:AQ29" si="11">$AG7*AO$6</f>
        <v>45.638466349762332</v>
      </c>
      <c r="AR11" s="2">
        <f t="shared" ref="AR11:AR29" si="12">$AG7*AP$6</f>
        <v>58.478646484863653</v>
      </c>
      <c r="AS11" s="2">
        <f t="shared" ref="AS11:AS29" si="13">$AG7*AQ$6</f>
        <v>25.407871975410131</v>
      </c>
      <c r="AT11" s="2">
        <f t="shared" ref="AT11:AT29" si="14">$AG7*AR$6</f>
        <v>14.794120590442834</v>
      </c>
      <c r="AU11" s="2">
        <f t="shared" ref="AU11:AU29" si="15">$AG7*AS$6</f>
        <v>58.365663533364312</v>
      </c>
      <c r="AV11" s="2">
        <f t="shared" ref="AV11:AV29" si="16">$AG7*AT$6</f>
        <v>8.334154187068874</v>
      </c>
      <c r="AW11" s="2">
        <f t="shared" ref="AW11:AW29" si="17">$AG7*AU$6</f>
        <v>47.240165838664716</v>
      </c>
      <c r="AX11" s="2">
        <f t="shared" ref="AX11:AX29" si="18">$AG7*AV$6</f>
        <v>51.001833517995649</v>
      </c>
      <c r="AY11" s="2">
        <f t="shared" ref="AY11:AY29" si="19">$AG7*AW$6</f>
        <v>18.449451374244973</v>
      </c>
      <c r="AZ11" s="2">
        <f t="shared" ref="AZ11:AZ29" si="20">$AG7*AX$6</f>
        <v>56.54464419743379</v>
      </c>
      <c r="BA11" s="2">
        <f t="shared" ref="BA11:BA29" si="21">$AG7*AY$6</f>
        <v>12.547753672397157</v>
      </c>
      <c r="BB11" s="2">
        <f t="shared" ref="BB11:BB29" si="22">$AG7*AZ$6</f>
        <v>19.652387504914401</v>
      </c>
      <c r="BC11" s="2">
        <f t="shared" ref="BC11:BC29" si="23">$AG7*BA$6</f>
        <v>55.281893563029421</v>
      </c>
      <c r="BD11" s="2">
        <f t="shared" ref="BD11:BD29" si="24">$AG7*BB$6</f>
        <v>13.052853926158907</v>
      </c>
      <c r="BG11" s="49">
        <v>2</v>
      </c>
      <c r="BH11" s="2">
        <v>1</v>
      </c>
      <c r="BI11" s="2">
        <v>2</v>
      </c>
      <c r="BJ11" s="2">
        <v>11</v>
      </c>
      <c r="BK11" s="2">
        <v>1</v>
      </c>
      <c r="BL11" s="2">
        <v>6</v>
      </c>
      <c r="BM11" s="2">
        <v>6</v>
      </c>
      <c r="BN11" s="2">
        <v>6</v>
      </c>
      <c r="BO11" s="2">
        <v>11</v>
      </c>
      <c r="BP11" s="2">
        <v>6</v>
      </c>
      <c r="BQ11" s="2">
        <v>11</v>
      </c>
      <c r="BR11" s="2">
        <v>11</v>
      </c>
      <c r="BS11" s="2">
        <v>6</v>
      </c>
      <c r="BT11" s="2">
        <v>18</v>
      </c>
      <c r="BU11" s="2">
        <v>6</v>
      </c>
      <c r="BV11" s="2">
        <v>19</v>
      </c>
      <c r="BW11" s="2">
        <v>16</v>
      </c>
      <c r="BX11" s="2">
        <v>1</v>
      </c>
      <c r="BY11" s="2">
        <v>18</v>
      </c>
      <c r="BZ11" s="2">
        <v>19</v>
      </c>
      <c r="CA11" s="2">
        <v>6</v>
      </c>
      <c r="CC11" s="49">
        <v>2</v>
      </c>
      <c r="CD11" s="2">
        <v>739.37038410093862</v>
      </c>
      <c r="CE11" s="2">
        <v>12.76930141444355</v>
      </c>
      <c r="CF11" s="2">
        <v>0</v>
      </c>
      <c r="CG11" s="2">
        <v>0</v>
      </c>
      <c r="CH11" s="2">
        <v>0</v>
      </c>
      <c r="CI11" s="2">
        <v>1146.8899619795891</v>
      </c>
      <c r="CJ11" s="2">
        <v>0</v>
      </c>
      <c r="CK11" s="2">
        <v>0</v>
      </c>
      <c r="CL11" s="2">
        <v>0</v>
      </c>
      <c r="CM11" s="2">
        <v>0</v>
      </c>
      <c r="CN11" s="2">
        <v>1143.096340140497</v>
      </c>
      <c r="CO11" s="2">
        <v>0</v>
      </c>
      <c r="CP11" s="2">
        <v>0</v>
      </c>
      <c r="CQ11" s="2">
        <v>0</v>
      </c>
      <c r="CR11" s="2">
        <v>0</v>
      </c>
      <c r="CS11" s="2">
        <v>126.94652181697541</v>
      </c>
      <c r="CT11" s="2">
        <v>0</v>
      </c>
      <c r="CU11" s="2">
        <v>672.21200644556563</v>
      </c>
      <c r="CV11" s="2">
        <v>313.20172197706142</v>
      </c>
      <c r="CW11" s="2">
        <v>0</v>
      </c>
      <c r="CY11" s="49">
        <v>2</v>
      </c>
      <c r="CZ11" s="2">
        <v>751</v>
      </c>
      <c r="DA11" s="2">
        <v>20</v>
      </c>
      <c r="DB11" s="2">
        <v>0</v>
      </c>
      <c r="DC11" s="2">
        <v>0</v>
      </c>
      <c r="DD11" s="2">
        <v>0</v>
      </c>
      <c r="DE11" s="2">
        <v>1153</v>
      </c>
      <c r="DF11" s="2">
        <v>0</v>
      </c>
      <c r="DG11" s="2">
        <v>0</v>
      </c>
      <c r="DH11" s="2">
        <v>0</v>
      </c>
      <c r="DI11" s="2">
        <v>0</v>
      </c>
      <c r="DJ11" s="2">
        <v>1150</v>
      </c>
      <c r="DK11" s="2">
        <v>0</v>
      </c>
      <c r="DL11" s="2">
        <v>0</v>
      </c>
      <c r="DM11" s="2">
        <v>0</v>
      </c>
      <c r="DN11" s="2">
        <v>0</v>
      </c>
      <c r="DO11" s="2">
        <v>140</v>
      </c>
      <c r="DP11" s="2">
        <v>0</v>
      </c>
      <c r="DQ11" s="2">
        <v>685</v>
      </c>
      <c r="DR11" s="2">
        <v>328</v>
      </c>
      <c r="DS11" s="2">
        <v>0</v>
      </c>
      <c r="DU11" s="49">
        <v>2</v>
      </c>
      <c r="DV11" s="2">
        <v>64285600</v>
      </c>
      <c r="DW11" s="2">
        <v>1712000</v>
      </c>
      <c r="DX11" s="2">
        <v>0</v>
      </c>
      <c r="DY11" s="2">
        <v>0</v>
      </c>
      <c r="DZ11" s="2">
        <v>0</v>
      </c>
      <c r="EA11" s="2">
        <v>98696800</v>
      </c>
      <c r="EB11" s="2">
        <v>0</v>
      </c>
      <c r="EC11" s="2">
        <v>0</v>
      </c>
      <c r="ED11" s="2">
        <v>0</v>
      </c>
      <c r="EE11" s="2">
        <v>0</v>
      </c>
      <c r="EF11" s="2">
        <v>98440000</v>
      </c>
      <c r="EG11" s="2">
        <v>0</v>
      </c>
      <c r="EH11" s="2">
        <v>0</v>
      </c>
      <c r="EI11" s="2">
        <v>0</v>
      </c>
      <c r="EJ11" s="2">
        <v>0</v>
      </c>
      <c r="EK11" s="2">
        <v>11984000</v>
      </c>
      <c r="EL11" s="2">
        <v>0</v>
      </c>
      <c r="EM11" s="2">
        <v>58636000</v>
      </c>
      <c r="EN11" s="2">
        <v>28076800</v>
      </c>
      <c r="EO11" s="2">
        <v>0</v>
      </c>
      <c r="EQ11" s="49">
        <v>2</v>
      </c>
      <c r="ER11" s="2">
        <v>64301600</v>
      </c>
      <c r="ES11" s="2">
        <v>1728000</v>
      </c>
      <c r="ET11" s="2">
        <v>0</v>
      </c>
      <c r="EU11" s="2">
        <v>0</v>
      </c>
      <c r="EV11" s="2">
        <v>0</v>
      </c>
      <c r="EW11" s="2">
        <v>98712800</v>
      </c>
      <c r="EX11" s="2">
        <v>0</v>
      </c>
      <c r="EY11" s="2">
        <v>0</v>
      </c>
      <c r="EZ11" s="2">
        <v>0</v>
      </c>
      <c r="FA11" s="2">
        <v>0</v>
      </c>
      <c r="FB11" s="2">
        <v>98456000</v>
      </c>
      <c r="FC11" s="2">
        <v>0</v>
      </c>
      <c r="FD11" s="2">
        <v>0</v>
      </c>
      <c r="FE11" s="2">
        <v>0</v>
      </c>
      <c r="FF11" s="2">
        <v>0</v>
      </c>
      <c r="FG11" s="2">
        <v>12000000</v>
      </c>
      <c r="FH11" s="2">
        <v>0</v>
      </c>
      <c r="FI11" s="2">
        <v>58652000</v>
      </c>
      <c r="FJ11" s="2">
        <v>28092800</v>
      </c>
      <c r="FK11" s="2">
        <v>0</v>
      </c>
    </row>
    <row r="12" spans="1:167" x14ac:dyDescent="0.25">
      <c r="A12" s="9">
        <v>4</v>
      </c>
      <c r="B12" s="11">
        <v>9304</v>
      </c>
      <c r="D12" s="29">
        <f t="shared" si="1"/>
        <v>8.3133778905607775E-2</v>
      </c>
      <c r="G12" s="18">
        <v>4</v>
      </c>
      <c r="H12" s="15"/>
      <c r="I12" s="2">
        <v>56.976383924484253</v>
      </c>
      <c r="J12" s="2">
        <v>25.297337770462036</v>
      </c>
      <c r="K12" s="2">
        <v>0</v>
      </c>
      <c r="L12" s="2"/>
      <c r="M12" s="2"/>
      <c r="N12" s="2">
        <v>84.568160772323608</v>
      </c>
      <c r="O12" s="2">
        <v>45.979875326156616</v>
      </c>
      <c r="P12" s="2"/>
      <c r="Q12" s="2">
        <v>72.872823476791382</v>
      </c>
      <c r="R12" s="2">
        <v>61.10796332359314</v>
      </c>
      <c r="S12" s="2">
        <v>62.808984518051147</v>
      </c>
      <c r="T12" s="2"/>
      <c r="U12" s="2">
        <v>31.803983449935913</v>
      </c>
      <c r="V12" s="2">
        <v>34.351867437362671</v>
      </c>
      <c r="W12" s="2"/>
      <c r="X12" s="2"/>
      <c r="Y12" s="2"/>
      <c r="Z12" s="2">
        <v>32.424873113632202</v>
      </c>
      <c r="AA12" s="2"/>
      <c r="AC12" s="39">
        <f t="shared" si="2"/>
        <v>508.19225311279297</v>
      </c>
      <c r="AD12" s="2">
        <f t="shared" si="3"/>
        <v>10</v>
      </c>
      <c r="AF12" s="2">
        <v>7</v>
      </c>
      <c r="AG12" s="2">
        <f t="shared" si="0"/>
        <v>686.7</v>
      </c>
      <c r="AJ12" s="49">
        <v>3</v>
      </c>
      <c r="AK12" s="2">
        <f t="shared" si="5"/>
        <v>19.436431788126811</v>
      </c>
      <c r="AL12" s="2">
        <f t="shared" si="6"/>
        <v>22.417146788662929</v>
      </c>
      <c r="AM12" s="2">
        <f t="shared" si="7"/>
        <v>10.16577522427535</v>
      </c>
      <c r="AN12" s="2">
        <f t="shared" si="8"/>
        <v>28.041023624861509</v>
      </c>
      <c r="AO12" s="2">
        <f t="shared" si="9"/>
        <v>9.0205055577397335</v>
      </c>
      <c r="AP12" s="2">
        <f t="shared" si="10"/>
        <v>28.375562922191644</v>
      </c>
      <c r="AQ12" s="2">
        <f t="shared" si="11"/>
        <v>20.69622842131599</v>
      </c>
      <c r="AR12" s="2">
        <f t="shared" si="12"/>
        <v>26.51902051538654</v>
      </c>
      <c r="AS12" s="2">
        <f t="shared" si="13"/>
        <v>11.522015618857001</v>
      </c>
      <c r="AT12" s="2">
        <f t="shared" si="14"/>
        <v>6.7088691518638983</v>
      </c>
      <c r="AU12" s="2">
        <f t="shared" si="15"/>
        <v>26.467784767146789</v>
      </c>
      <c r="AV12" s="2">
        <f t="shared" si="16"/>
        <v>3.779389899567533</v>
      </c>
      <c r="AW12" s="2">
        <f t="shared" si="17"/>
        <v>21.422570499303049</v>
      </c>
      <c r="AX12" s="2">
        <f t="shared" si="18"/>
        <v>23.128419528932415</v>
      </c>
      <c r="AY12" s="2">
        <f t="shared" si="19"/>
        <v>8.3664963007970261</v>
      </c>
      <c r="AZ12" s="2">
        <f t="shared" si="20"/>
        <v>25.641985060223739</v>
      </c>
      <c r="BA12" s="2">
        <f t="shared" si="21"/>
        <v>5.6901819221559036</v>
      </c>
      <c r="BB12" s="2">
        <f t="shared" si="22"/>
        <v>8.9120063261732003</v>
      </c>
      <c r="BC12" s="2">
        <f t="shared" si="23"/>
        <v>25.069350226955933</v>
      </c>
      <c r="BD12" s="2">
        <f t="shared" si="24"/>
        <v>5.9192358554630262</v>
      </c>
      <c r="BG12" s="49">
        <v>3</v>
      </c>
      <c r="BH12" s="2">
        <v>10</v>
      </c>
      <c r="BI12" s="2">
        <v>10</v>
      </c>
      <c r="BJ12" s="2">
        <v>3</v>
      </c>
      <c r="BK12" s="2">
        <v>10</v>
      </c>
      <c r="BL12" s="2">
        <v>15</v>
      </c>
      <c r="BM12" s="2">
        <v>15</v>
      </c>
      <c r="BN12" s="2">
        <v>15</v>
      </c>
      <c r="BO12" s="2">
        <v>10</v>
      </c>
      <c r="BP12" s="2">
        <v>10</v>
      </c>
      <c r="BQ12" s="2">
        <v>10</v>
      </c>
      <c r="BR12" s="2">
        <v>10</v>
      </c>
      <c r="BS12" s="2">
        <v>15</v>
      </c>
      <c r="BT12" s="2">
        <v>10</v>
      </c>
      <c r="BU12" s="2">
        <v>10</v>
      </c>
      <c r="BV12" s="2">
        <v>15</v>
      </c>
      <c r="BW12" s="2">
        <v>15</v>
      </c>
      <c r="BX12" s="2">
        <v>10</v>
      </c>
      <c r="BY12" s="2">
        <v>10</v>
      </c>
      <c r="BZ12" s="2">
        <v>15</v>
      </c>
      <c r="CA12" s="2">
        <v>10</v>
      </c>
      <c r="CC12" s="49">
        <v>3</v>
      </c>
      <c r="CD12" s="2">
        <v>0</v>
      </c>
      <c r="CE12" s="2">
        <v>0</v>
      </c>
      <c r="CF12" s="2">
        <v>7.8263867971226668</v>
      </c>
      <c r="CG12" s="2">
        <v>0</v>
      </c>
      <c r="CH12" s="2">
        <v>0</v>
      </c>
      <c r="CI12" s="2">
        <v>0</v>
      </c>
      <c r="CJ12" s="2">
        <v>0</v>
      </c>
      <c r="CK12" s="2">
        <v>0</v>
      </c>
      <c r="CL12" s="2">
        <v>0</v>
      </c>
      <c r="CM12" s="2">
        <v>179.20588315832711</v>
      </c>
      <c r="CN12" s="2">
        <v>0</v>
      </c>
      <c r="CO12" s="2">
        <v>0</v>
      </c>
      <c r="CP12" s="2">
        <v>0</v>
      </c>
      <c r="CQ12" s="2">
        <v>0</v>
      </c>
      <c r="CR12" s="2">
        <v>85.567730044550245</v>
      </c>
      <c r="CS12" s="2">
        <v>0</v>
      </c>
      <c r="CT12" s="2">
        <v>0</v>
      </c>
      <c r="CU12" s="2">
        <v>0</v>
      </c>
      <c r="CV12" s="2">
        <v>0</v>
      </c>
      <c r="CW12" s="2">
        <v>0</v>
      </c>
      <c r="CY12" s="49">
        <v>3</v>
      </c>
      <c r="CZ12" s="2">
        <v>0</v>
      </c>
      <c r="DA12" s="2">
        <v>0</v>
      </c>
      <c r="DB12" s="2">
        <v>14</v>
      </c>
      <c r="DC12" s="2">
        <v>0</v>
      </c>
      <c r="DD12" s="2">
        <v>0</v>
      </c>
      <c r="DE12" s="2">
        <v>0</v>
      </c>
      <c r="DF12" s="2">
        <v>0</v>
      </c>
      <c r="DG12" s="2">
        <v>0</v>
      </c>
      <c r="DH12" s="2">
        <v>0</v>
      </c>
      <c r="DI12" s="2">
        <v>193</v>
      </c>
      <c r="DJ12" s="2">
        <v>0</v>
      </c>
      <c r="DK12" s="2">
        <v>0</v>
      </c>
      <c r="DL12" s="2">
        <v>0</v>
      </c>
      <c r="DM12" s="2">
        <v>0</v>
      </c>
      <c r="DN12" s="2">
        <v>98</v>
      </c>
      <c r="DO12" s="2">
        <v>0</v>
      </c>
      <c r="DP12" s="2">
        <v>0</v>
      </c>
      <c r="DQ12" s="2">
        <v>0</v>
      </c>
      <c r="DR12" s="2">
        <v>0</v>
      </c>
      <c r="DS12" s="2">
        <v>0</v>
      </c>
      <c r="DU12" s="49">
        <v>3</v>
      </c>
      <c r="DV12" s="2">
        <v>0</v>
      </c>
      <c r="DW12" s="2">
        <v>0</v>
      </c>
      <c r="DX12" s="2">
        <v>1198400</v>
      </c>
      <c r="DY12" s="2">
        <v>0</v>
      </c>
      <c r="DZ12" s="2">
        <v>0</v>
      </c>
      <c r="EA12" s="2">
        <v>0</v>
      </c>
      <c r="EB12" s="2">
        <v>0</v>
      </c>
      <c r="EC12" s="2">
        <v>0</v>
      </c>
      <c r="ED12" s="2">
        <v>0</v>
      </c>
      <c r="EE12" s="2">
        <v>16520800</v>
      </c>
      <c r="EF12" s="2">
        <v>0</v>
      </c>
      <c r="EG12" s="2">
        <v>0</v>
      </c>
      <c r="EH12" s="2">
        <v>0</v>
      </c>
      <c r="EI12" s="2">
        <v>0</v>
      </c>
      <c r="EJ12" s="2">
        <v>8388800</v>
      </c>
      <c r="EK12" s="2">
        <v>0</v>
      </c>
      <c r="EL12" s="2">
        <v>0</v>
      </c>
      <c r="EM12" s="2">
        <v>0</v>
      </c>
      <c r="EN12" s="2">
        <v>0</v>
      </c>
      <c r="EO12" s="2">
        <v>0</v>
      </c>
      <c r="EQ12" s="49">
        <v>3</v>
      </c>
      <c r="ER12" s="2">
        <v>0</v>
      </c>
      <c r="ES12" s="2">
        <v>0</v>
      </c>
      <c r="ET12" s="2">
        <v>1214400</v>
      </c>
      <c r="EU12" s="2">
        <v>0</v>
      </c>
      <c r="EV12" s="2">
        <v>0</v>
      </c>
      <c r="EW12" s="2">
        <v>0</v>
      </c>
      <c r="EX12" s="2">
        <v>0</v>
      </c>
      <c r="EY12" s="2">
        <v>0</v>
      </c>
      <c r="EZ12" s="2">
        <v>0</v>
      </c>
      <c r="FA12" s="2">
        <v>16536800</v>
      </c>
      <c r="FB12" s="2">
        <v>0</v>
      </c>
      <c r="FC12" s="2">
        <v>0</v>
      </c>
      <c r="FD12" s="2">
        <v>0</v>
      </c>
      <c r="FE12" s="2">
        <v>0</v>
      </c>
      <c r="FF12" s="2">
        <v>8404800</v>
      </c>
      <c r="FG12" s="2">
        <v>0</v>
      </c>
      <c r="FH12" s="2">
        <v>0</v>
      </c>
      <c r="FI12" s="2">
        <v>0</v>
      </c>
      <c r="FJ12" s="2">
        <v>0</v>
      </c>
      <c r="FK12" s="2">
        <v>0</v>
      </c>
    </row>
    <row r="13" spans="1:167" x14ac:dyDescent="0.25">
      <c r="A13" s="9">
        <v>5</v>
      </c>
      <c r="B13" s="11">
        <v>2993</v>
      </c>
      <c r="D13" s="29">
        <f t="shared" si="1"/>
        <v>2.6743271739518924E-2</v>
      </c>
      <c r="G13" s="18">
        <v>5</v>
      </c>
      <c r="H13" s="15"/>
      <c r="I13" s="2"/>
      <c r="J13" s="2">
        <v>22.928458452224731</v>
      </c>
      <c r="K13" s="2"/>
      <c r="L13" s="2">
        <v>0</v>
      </c>
      <c r="M13" s="2">
        <v>76.144033670425415</v>
      </c>
      <c r="N13" s="2">
        <v>27.090126276016235</v>
      </c>
      <c r="O13" s="2"/>
      <c r="P13" s="2">
        <v>85.773998498916626</v>
      </c>
      <c r="Q13" s="2">
        <v>45.171934366226196</v>
      </c>
      <c r="R13" s="2"/>
      <c r="S13" s="2"/>
      <c r="T13" s="2"/>
      <c r="U13" s="2">
        <v>58.755499124526978</v>
      </c>
      <c r="V13" s="2">
        <v>16.549736261367798</v>
      </c>
      <c r="W13" s="2">
        <v>45.732218027114868</v>
      </c>
      <c r="X13" s="2">
        <v>33.851772546768188</v>
      </c>
      <c r="Y13" s="2">
        <v>70.019727945327759</v>
      </c>
      <c r="Z13" s="2">
        <v>94.909912347793579</v>
      </c>
      <c r="AA13" s="2"/>
      <c r="AC13" s="39">
        <f t="shared" si="2"/>
        <v>576.92741751670837</v>
      </c>
      <c r="AD13" s="2">
        <f t="shared" si="3"/>
        <v>11</v>
      </c>
      <c r="AF13" s="2">
        <v>8</v>
      </c>
      <c r="AG13" s="2">
        <f t="shared" si="0"/>
        <v>879.90000000000009</v>
      </c>
      <c r="AJ13" s="49">
        <v>4</v>
      </c>
      <c r="AK13" s="2">
        <f t="shared" si="5"/>
        <v>53.612974016226467</v>
      </c>
      <c r="AL13" s="2">
        <f t="shared" si="6"/>
        <v>61.834904749991082</v>
      </c>
      <c r="AM13" s="2">
        <f t="shared" si="7"/>
        <v>28.041023624861506</v>
      </c>
      <c r="AN13" s="2">
        <f t="shared" si="8"/>
        <v>77.347667893777498</v>
      </c>
      <c r="AO13" s="2">
        <f t="shared" si="9"/>
        <v>24.881940026448408</v>
      </c>
      <c r="AP13" s="2">
        <f t="shared" si="10"/>
        <v>78.270452839629726</v>
      </c>
      <c r="AQ13" s="2">
        <f t="shared" si="11"/>
        <v>57.087965974480873</v>
      </c>
      <c r="AR13" s="2">
        <f t="shared" si="12"/>
        <v>73.149412059044295</v>
      </c>
      <c r="AS13" s="2">
        <f t="shared" si="13"/>
        <v>31.782043675613856</v>
      </c>
      <c r="AT13" s="2">
        <f t="shared" si="14"/>
        <v>18.505579184388292</v>
      </c>
      <c r="AU13" s="2">
        <f t="shared" si="15"/>
        <v>73.008084634904762</v>
      </c>
      <c r="AV13" s="2">
        <f t="shared" si="16"/>
        <v>10.424975874763216</v>
      </c>
      <c r="AW13" s="2">
        <f t="shared" si="17"/>
        <v>59.091490046106017</v>
      </c>
      <c r="AX13" s="2">
        <f t="shared" si="18"/>
        <v>63.796861932163416</v>
      </c>
      <c r="AY13" s="2">
        <f t="shared" si="19"/>
        <v>23.077937024196721</v>
      </c>
      <c r="AZ13" s="2">
        <f t="shared" si="20"/>
        <v>70.730219092891105</v>
      </c>
      <c r="BA13" s="2">
        <f t="shared" si="21"/>
        <v>15.695657457378751</v>
      </c>
      <c r="BB13" s="2">
        <f t="shared" si="22"/>
        <v>24.582658422388221</v>
      </c>
      <c r="BC13" s="2">
        <f t="shared" si="23"/>
        <v>69.150677293684566</v>
      </c>
      <c r="BD13" s="2">
        <f t="shared" si="24"/>
        <v>16.327474177061369</v>
      </c>
      <c r="BG13" s="49">
        <v>4</v>
      </c>
      <c r="BH13" s="2">
        <v>1</v>
      </c>
      <c r="BI13" s="2">
        <v>1</v>
      </c>
      <c r="BJ13" s="2">
        <v>14</v>
      </c>
      <c r="BK13" s="2">
        <v>4</v>
      </c>
      <c r="BL13" s="2">
        <v>14</v>
      </c>
      <c r="BM13" s="2">
        <v>14</v>
      </c>
      <c r="BN13" s="2">
        <v>7</v>
      </c>
      <c r="BO13" s="2">
        <v>1</v>
      </c>
      <c r="BP13" s="2">
        <v>9</v>
      </c>
      <c r="BQ13" s="2">
        <v>14</v>
      </c>
      <c r="BR13" s="2">
        <v>1</v>
      </c>
      <c r="BS13" s="2">
        <v>14</v>
      </c>
      <c r="BT13" s="2">
        <v>18</v>
      </c>
      <c r="BU13" s="2">
        <v>14</v>
      </c>
      <c r="BV13" s="2">
        <v>14</v>
      </c>
      <c r="BW13" s="2">
        <v>7</v>
      </c>
      <c r="BX13" s="2">
        <v>1</v>
      </c>
      <c r="BY13" s="2">
        <v>18</v>
      </c>
      <c r="BZ13" s="2">
        <v>14</v>
      </c>
      <c r="CA13" s="2">
        <v>9</v>
      </c>
      <c r="CC13" s="49">
        <v>4</v>
      </c>
      <c r="CD13" s="2">
        <v>133.33054165920649</v>
      </c>
      <c r="CE13" s="2">
        <v>0</v>
      </c>
      <c r="CF13" s="2">
        <v>0</v>
      </c>
      <c r="CG13" s="2">
        <v>15.136211018546801</v>
      </c>
      <c r="CH13" s="2">
        <v>0</v>
      </c>
      <c r="CI13" s="2">
        <v>0</v>
      </c>
      <c r="CJ13" s="2">
        <v>140.5300550822021</v>
      </c>
      <c r="CK13" s="2">
        <v>0</v>
      </c>
      <c r="CL13" s="2">
        <v>215.3164077557426</v>
      </c>
      <c r="CM13" s="2">
        <v>0</v>
      </c>
      <c r="CN13" s="2">
        <v>0</v>
      </c>
      <c r="CO13" s="2">
        <v>0</v>
      </c>
      <c r="CP13" s="2">
        <v>0</v>
      </c>
      <c r="CQ13" s="2">
        <v>379.62380435812918</v>
      </c>
      <c r="CR13" s="2">
        <v>0</v>
      </c>
      <c r="CS13" s="2">
        <v>0</v>
      </c>
      <c r="CT13" s="2">
        <v>0</v>
      </c>
      <c r="CU13" s="2">
        <v>231.94895786158901</v>
      </c>
      <c r="CV13" s="2">
        <v>0</v>
      </c>
      <c r="CW13" s="2">
        <v>0</v>
      </c>
      <c r="CY13" s="49">
        <v>4</v>
      </c>
      <c r="CZ13" s="2">
        <v>147</v>
      </c>
      <c r="DA13" s="2">
        <v>0</v>
      </c>
      <c r="DB13" s="2">
        <v>0</v>
      </c>
      <c r="DC13" s="2">
        <v>23</v>
      </c>
      <c r="DD13" s="2">
        <v>0</v>
      </c>
      <c r="DE13" s="2">
        <v>0</v>
      </c>
      <c r="DF13" s="2">
        <v>154</v>
      </c>
      <c r="DG13" s="2">
        <v>0</v>
      </c>
      <c r="DH13" s="2">
        <v>230</v>
      </c>
      <c r="DI13" s="2">
        <v>0</v>
      </c>
      <c r="DJ13" s="2">
        <v>0</v>
      </c>
      <c r="DK13" s="2">
        <v>0</v>
      </c>
      <c r="DL13" s="2">
        <v>0</v>
      </c>
      <c r="DM13" s="2">
        <v>394</v>
      </c>
      <c r="DN13" s="2">
        <v>0</v>
      </c>
      <c r="DO13" s="2">
        <v>0</v>
      </c>
      <c r="DP13" s="2">
        <v>0</v>
      </c>
      <c r="DQ13" s="2">
        <v>247</v>
      </c>
      <c r="DR13" s="2">
        <v>0</v>
      </c>
      <c r="DS13" s="2">
        <v>0</v>
      </c>
      <c r="DU13" s="49">
        <v>4</v>
      </c>
      <c r="DV13" s="2">
        <v>12583200</v>
      </c>
      <c r="DW13" s="2">
        <v>0</v>
      </c>
      <c r="DX13" s="2">
        <v>0</v>
      </c>
      <c r="DY13" s="2">
        <v>1968800</v>
      </c>
      <c r="DZ13" s="2">
        <v>0</v>
      </c>
      <c r="EA13" s="2">
        <v>0</v>
      </c>
      <c r="EB13" s="2">
        <v>13182400</v>
      </c>
      <c r="EC13" s="2">
        <v>0</v>
      </c>
      <c r="ED13" s="2">
        <v>19688000</v>
      </c>
      <c r="EE13" s="2">
        <v>0</v>
      </c>
      <c r="EF13" s="2">
        <v>0</v>
      </c>
      <c r="EG13" s="2">
        <v>0</v>
      </c>
      <c r="EH13" s="2">
        <v>0</v>
      </c>
      <c r="EI13" s="2">
        <v>33726400</v>
      </c>
      <c r="EJ13" s="2">
        <v>0</v>
      </c>
      <c r="EK13" s="2">
        <v>0</v>
      </c>
      <c r="EL13" s="2">
        <v>0</v>
      </c>
      <c r="EM13" s="2">
        <v>21143200</v>
      </c>
      <c r="EN13" s="2">
        <v>0</v>
      </c>
      <c r="EO13" s="2">
        <v>0</v>
      </c>
      <c r="EQ13" s="49">
        <v>4</v>
      </c>
      <c r="ER13" s="2">
        <v>12599200</v>
      </c>
      <c r="ES13" s="2">
        <v>0</v>
      </c>
      <c r="ET13" s="2">
        <v>0</v>
      </c>
      <c r="EU13" s="2">
        <v>1984800</v>
      </c>
      <c r="EV13" s="2">
        <v>0</v>
      </c>
      <c r="EW13" s="2">
        <v>0</v>
      </c>
      <c r="EX13" s="2">
        <v>13198400</v>
      </c>
      <c r="EY13" s="2">
        <v>0</v>
      </c>
      <c r="EZ13" s="2">
        <v>19704000</v>
      </c>
      <c r="FA13" s="2">
        <v>0</v>
      </c>
      <c r="FB13" s="2">
        <v>0</v>
      </c>
      <c r="FC13" s="2">
        <v>0</v>
      </c>
      <c r="FD13" s="2">
        <v>0</v>
      </c>
      <c r="FE13" s="2">
        <v>33742400</v>
      </c>
      <c r="FF13" s="2">
        <v>0</v>
      </c>
      <c r="FG13" s="2">
        <v>0</v>
      </c>
      <c r="FH13" s="2">
        <v>0</v>
      </c>
      <c r="FI13" s="2">
        <v>21159200</v>
      </c>
      <c r="FJ13" s="2">
        <v>0</v>
      </c>
      <c r="FK13" s="2">
        <v>0</v>
      </c>
    </row>
    <row r="14" spans="1:167" x14ac:dyDescent="0.25">
      <c r="A14" s="9">
        <v>6</v>
      </c>
      <c r="B14" s="11">
        <v>9415</v>
      </c>
      <c r="D14" s="29">
        <f t="shared" si="1"/>
        <v>8.4125594195646733E-2</v>
      </c>
      <c r="G14" s="18">
        <v>6</v>
      </c>
      <c r="H14" s="15"/>
      <c r="I14" s="2"/>
      <c r="J14" s="2"/>
      <c r="K14" s="2"/>
      <c r="L14" s="2">
        <v>76.144033670425415</v>
      </c>
      <c r="M14" s="2">
        <v>0</v>
      </c>
      <c r="N14" s="2">
        <v>39.597386121749878</v>
      </c>
      <c r="O14" s="2"/>
      <c r="P14" s="2"/>
      <c r="Q14" s="2">
        <v>12.392252683639526</v>
      </c>
      <c r="R14" s="2"/>
      <c r="S14" s="2"/>
      <c r="T14" s="2">
        <v>8.7970435619354248</v>
      </c>
      <c r="U14" s="2"/>
      <c r="V14" s="2">
        <v>17.39012598991394</v>
      </c>
      <c r="W14" s="2"/>
      <c r="X14" s="2"/>
      <c r="Y14" s="2">
        <v>83.678644895553589</v>
      </c>
      <c r="Z14" s="2">
        <v>83.959835767745972</v>
      </c>
      <c r="AA14" s="2">
        <v>3.4930408000946045</v>
      </c>
      <c r="AC14" s="39">
        <f t="shared" si="2"/>
        <v>325.45236349105835</v>
      </c>
      <c r="AD14" s="2">
        <f t="shared" si="3"/>
        <v>8</v>
      </c>
      <c r="AF14" s="2">
        <v>9</v>
      </c>
      <c r="AG14" s="2">
        <f t="shared" si="0"/>
        <v>382.3</v>
      </c>
      <c r="AJ14" s="49">
        <v>5</v>
      </c>
      <c r="AK14" s="2">
        <f t="shared" si="5"/>
        <v>17.246735944815757</v>
      </c>
      <c r="AL14" s="2">
        <f t="shared" si="6"/>
        <v>19.89164551985418</v>
      </c>
      <c r="AM14" s="2">
        <f t="shared" si="7"/>
        <v>9.0205055577397335</v>
      </c>
      <c r="AN14" s="2">
        <f t="shared" si="8"/>
        <v>24.881940026448412</v>
      </c>
      <c r="AO14" s="2">
        <f t="shared" si="9"/>
        <v>8.0042612316380151</v>
      </c>
      <c r="AP14" s="2">
        <f t="shared" si="10"/>
        <v>25.178790342757068</v>
      </c>
      <c r="AQ14" s="2">
        <f t="shared" si="11"/>
        <v>18.364604703527647</v>
      </c>
      <c r="AR14" s="2">
        <f t="shared" si="12"/>
        <v>23.531404803602705</v>
      </c>
      <c r="AS14" s="2">
        <f t="shared" si="13"/>
        <v>10.223952786018085</v>
      </c>
      <c r="AT14" s="2">
        <f t="shared" si="14"/>
        <v>5.9530522892169131</v>
      </c>
      <c r="AU14" s="2">
        <f t="shared" si="15"/>
        <v>23.48594124164552</v>
      </c>
      <c r="AV14" s="2">
        <f t="shared" si="16"/>
        <v>3.3536062761356735</v>
      </c>
      <c r="AW14" s="2">
        <f t="shared" si="17"/>
        <v>19.009117552450054</v>
      </c>
      <c r="AX14" s="2">
        <f t="shared" si="18"/>
        <v>20.522786732906827</v>
      </c>
      <c r="AY14" s="2">
        <f t="shared" si="19"/>
        <v>7.4239322348904544</v>
      </c>
      <c r="AZ14" s="2">
        <f t="shared" si="20"/>
        <v>22.7531755959827</v>
      </c>
      <c r="BA14" s="2">
        <f t="shared" si="21"/>
        <v>5.0491297044211736</v>
      </c>
      <c r="BB14" s="2">
        <f t="shared" si="22"/>
        <v>7.9079854533757459</v>
      </c>
      <c r="BC14" s="2">
        <f t="shared" si="23"/>
        <v>22.245053432931844</v>
      </c>
      <c r="BD14" s="2">
        <f t="shared" si="24"/>
        <v>5.2523785696415173</v>
      </c>
      <c r="BG14" s="49">
        <v>5</v>
      </c>
      <c r="BH14" s="2">
        <v>6</v>
      </c>
      <c r="BI14" s="2">
        <v>6</v>
      </c>
      <c r="BJ14" s="2">
        <v>6</v>
      </c>
      <c r="BK14" s="2">
        <v>6</v>
      </c>
      <c r="BL14" s="2">
        <v>5</v>
      </c>
      <c r="BM14" s="2">
        <v>6</v>
      </c>
      <c r="BN14" s="2">
        <v>6</v>
      </c>
      <c r="BO14" s="2">
        <v>6</v>
      </c>
      <c r="BP14" s="2">
        <v>6</v>
      </c>
      <c r="BQ14" s="2">
        <v>6</v>
      </c>
      <c r="BR14" s="2">
        <v>6</v>
      </c>
      <c r="BS14" s="2">
        <v>6</v>
      </c>
      <c r="BT14" s="2">
        <v>6</v>
      </c>
      <c r="BU14" s="2">
        <v>6</v>
      </c>
      <c r="BV14" s="2">
        <v>6</v>
      </c>
      <c r="BW14" s="2">
        <v>6</v>
      </c>
      <c r="BX14" s="2">
        <v>6</v>
      </c>
      <c r="BY14" s="2">
        <v>6</v>
      </c>
      <c r="BZ14" s="2">
        <v>6</v>
      </c>
      <c r="CA14" s="2">
        <v>6</v>
      </c>
      <c r="CC14" s="49">
        <v>5</v>
      </c>
      <c r="CD14" s="2">
        <v>0</v>
      </c>
      <c r="CE14" s="2">
        <v>0</v>
      </c>
      <c r="CF14" s="2">
        <v>0</v>
      </c>
      <c r="CG14" s="2">
        <v>0</v>
      </c>
      <c r="CH14" s="2">
        <v>36.562432463743697</v>
      </c>
      <c r="CI14" s="2">
        <v>552.63756753625637</v>
      </c>
      <c r="CJ14" s="2">
        <v>0</v>
      </c>
      <c r="CK14" s="2">
        <v>0</v>
      </c>
      <c r="CL14" s="2">
        <v>0</v>
      </c>
      <c r="CM14" s="2">
        <v>0</v>
      </c>
      <c r="CN14" s="2">
        <v>0</v>
      </c>
      <c r="CO14" s="2">
        <v>0</v>
      </c>
      <c r="CP14" s="2">
        <v>0</v>
      </c>
      <c r="CQ14" s="2">
        <v>0</v>
      </c>
      <c r="CR14" s="2">
        <v>0</v>
      </c>
      <c r="CS14" s="2">
        <v>0</v>
      </c>
      <c r="CT14" s="2">
        <v>0</v>
      </c>
      <c r="CU14" s="2">
        <v>0</v>
      </c>
      <c r="CV14" s="2">
        <v>0</v>
      </c>
      <c r="CW14" s="2">
        <v>0</v>
      </c>
      <c r="CY14" s="49">
        <v>5</v>
      </c>
      <c r="CZ14" s="2">
        <v>0</v>
      </c>
      <c r="DA14" s="2">
        <v>0</v>
      </c>
      <c r="DB14" s="2">
        <v>0</v>
      </c>
      <c r="DC14" s="2">
        <v>0</v>
      </c>
      <c r="DD14" s="2">
        <v>47</v>
      </c>
      <c r="DE14" s="2">
        <v>566</v>
      </c>
      <c r="DF14" s="2">
        <v>0</v>
      </c>
      <c r="DG14" s="2">
        <v>0</v>
      </c>
      <c r="DH14" s="2">
        <v>0</v>
      </c>
      <c r="DI14" s="2">
        <v>0</v>
      </c>
      <c r="DJ14" s="2">
        <v>0</v>
      </c>
      <c r="DK14" s="2">
        <v>0</v>
      </c>
      <c r="DL14" s="2">
        <v>0</v>
      </c>
      <c r="DM14" s="2">
        <v>0</v>
      </c>
      <c r="DN14" s="2">
        <v>0</v>
      </c>
      <c r="DO14" s="2">
        <v>0</v>
      </c>
      <c r="DP14" s="2">
        <v>0</v>
      </c>
      <c r="DQ14" s="2">
        <v>0</v>
      </c>
      <c r="DR14" s="2">
        <v>0</v>
      </c>
      <c r="DS14" s="2">
        <v>0</v>
      </c>
      <c r="DU14" s="49">
        <v>5</v>
      </c>
      <c r="DV14" s="2">
        <v>0</v>
      </c>
      <c r="DW14" s="2">
        <v>0</v>
      </c>
      <c r="DX14" s="2">
        <v>0</v>
      </c>
      <c r="DY14" s="2">
        <v>0</v>
      </c>
      <c r="DZ14" s="2">
        <v>4023200</v>
      </c>
      <c r="EA14" s="2">
        <v>48449600</v>
      </c>
      <c r="EB14" s="2">
        <v>0</v>
      </c>
      <c r="EC14" s="2">
        <v>0</v>
      </c>
      <c r="ED14" s="2">
        <v>0</v>
      </c>
      <c r="EE14" s="2">
        <v>0</v>
      </c>
      <c r="EF14" s="2">
        <v>0</v>
      </c>
      <c r="EG14" s="2">
        <v>0</v>
      </c>
      <c r="EH14" s="2">
        <v>0</v>
      </c>
      <c r="EI14" s="2">
        <v>0</v>
      </c>
      <c r="EJ14" s="2">
        <v>0</v>
      </c>
      <c r="EK14" s="2">
        <v>0</v>
      </c>
      <c r="EL14" s="2">
        <v>0</v>
      </c>
      <c r="EM14" s="2">
        <v>0</v>
      </c>
      <c r="EN14" s="2">
        <v>0</v>
      </c>
      <c r="EO14" s="2">
        <v>0</v>
      </c>
      <c r="EQ14" s="49">
        <v>5</v>
      </c>
      <c r="ER14" s="2">
        <v>0</v>
      </c>
      <c r="ES14" s="2">
        <v>0</v>
      </c>
      <c r="ET14" s="2">
        <v>0</v>
      </c>
      <c r="EU14" s="2">
        <v>0</v>
      </c>
      <c r="EV14" s="2">
        <v>4039200</v>
      </c>
      <c r="EW14" s="2">
        <v>48465600</v>
      </c>
      <c r="EX14" s="2">
        <v>0</v>
      </c>
      <c r="EY14" s="2">
        <v>0</v>
      </c>
      <c r="EZ14" s="2">
        <v>0</v>
      </c>
      <c r="FA14" s="2">
        <v>0</v>
      </c>
      <c r="FB14" s="2">
        <v>0</v>
      </c>
      <c r="FC14" s="2">
        <v>0</v>
      </c>
      <c r="FD14" s="2">
        <v>0</v>
      </c>
      <c r="FE14" s="2">
        <v>0</v>
      </c>
      <c r="FF14" s="2">
        <v>0</v>
      </c>
      <c r="FG14" s="2">
        <v>0</v>
      </c>
      <c r="FH14" s="2">
        <v>0</v>
      </c>
      <c r="FI14" s="2">
        <v>0</v>
      </c>
      <c r="FJ14" s="2">
        <v>0</v>
      </c>
      <c r="FK14" s="2">
        <v>0</v>
      </c>
    </row>
    <row r="15" spans="1:167" x14ac:dyDescent="0.25">
      <c r="A15" s="9">
        <v>7</v>
      </c>
      <c r="B15" s="11">
        <v>6867</v>
      </c>
      <c r="D15" s="29">
        <f t="shared" si="1"/>
        <v>6.1358518889166873E-2</v>
      </c>
      <c r="G15" s="18">
        <v>7</v>
      </c>
      <c r="H15" s="15">
        <v>80.135160684585571</v>
      </c>
      <c r="I15" s="2">
        <v>87.998789548873901</v>
      </c>
      <c r="J15" s="2">
        <v>45.026332139968872</v>
      </c>
      <c r="K15" s="2">
        <v>84.568160772323608</v>
      </c>
      <c r="L15" s="2">
        <v>27.090126276016235</v>
      </c>
      <c r="M15" s="2">
        <v>39.597386121749878</v>
      </c>
      <c r="N15" s="2">
        <v>0</v>
      </c>
      <c r="O15" s="2"/>
      <c r="P15" s="2"/>
      <c r="Q15" s="2">
        <v>16.130000352859497</v>
      </c>
      <c r="R15" s="2"/>
      <c r="S15" s="2"/>
      <c r="T15" s="2">
        <v>64.925462007522583</v>
      </c>
      <c r="U15" s="2">
        <v>95.304995775222778</v>
      </c>
      <c r="V15" s="2">
        <v>24.489766359329224</v>
      </c>
      <c r="W15" s="2">
        <v>67.372351884841919</v>
      </c>
      <c r="X15" s="2">
        <v>15.407830476760864</v>
      </c>
      <c r="Y15" s="2">
        <v>86.61378026008606</v>
      </c>
      <c r="Z15" s="2"/>
      <c r="AA15" s="2">
        <v>3.4199059009552002</v>
      </c>
      <c r="AC15" s="39">
        <f t="shared" si="2"/>
        <v>738.08004856109619</v>
      </c>
      <c r="AD15" s="2">
        <f t="shared" si="3"/>
        <v>14</v>
      </c>
      <c r="AF15" s="2">
        <v>10</v>
      </c>
      <c r="AG15" s="2">
        <f t="shared" si="0"/>
        <v>222.60000000000002</v>
      </c>
      <c r="AJ15" s="49">
        <v>6</v>
      </c>
      <c r="AK15" s="2">
        <f t="shared" si="5"/>
        <v>54.25259569677258</v>
      </c>
      <c r="AL15" s="2">
        <f t="shared" si="6"/>
        <v>62.572616962722051</v>
      </c>
      <c r="AM15" s="2">
        <f t="shared" si="7"/>
        <v>28.375562922191644</v>
      </c>
      <c r="AN15" s="2">
        <f t="shared" si="8"/>
        <v>78.270452839629726</v>
      </c>
      <c r="AO15" s="2">
        <f t="shared" si="9"/>
        <v>25.178790342757068</v>
      </c>
      <c r="AP15" s="2">
        <f t="shared" si="10"/>
        <v>79.204246935201397</v>
      </c>
      <c r="AQ15" s="2">
        <f t="shared" si="11"/>
        <v>57.769045534150621</v>
      </c>
      <c r="AR15" s="2">
        <f t="shared" si="12"/>
        <v>74.022110332749563</v>
      </c>
      <c r="AS15" s="2">
        <f t="shared" si="13"/>
        <v>32.161214660995746</v>
      </c>
      <c r="AT15" s="2">
        <f t="shared" si="14"/>
        <v>18.726357267950963</v>
      </c>
      <c r="AU15" s="2">
        <f t="shared" si="15"/>
        <v>73.879096822616958</v>
      </c>
      <c r="AV15" s="2">
        <f t="shared" si="16"/>
        <v>10.549349512134102</v>
      </c>
      <c r="AW15" s="2">
        <f t="shared" si="17"/>
        <v>59.796472354265703</v>
      </c>
      <c r="AX15" s="2">
        <f t="shared" si="18"/>
        <v>64.557980985739306</v>
      </c>
      <c r="AY15" s="2">
        <f t="shared" si="19"/>
        <v>23.353264948711534</v>
      </c>
      <c r="AZ15" s="2">
        <f t="shared" si="20"/>
        <v>71.574055541656236</v>
      </c>
      <c r="BA15" s="2">
        <f t="shared" si="21"/>
        <v>15.882912184138105</v>
      </c>
      <c r="BB15" s="2">
        <f t="shared" si="22"/>
        <v>24.875938203652737</v>
      </c>
      <c r="BC15" s="2">
        <f t="shared" si="23"/>
        <v>69.975669251938953</v>
      </c>
      <c r="BD15" s="2">
        <f t="shared" si="24"/>
        <v>16.522266700025021</v>
      </c>
      <c r="BG15" s="49">
        <v>6</v>
      </c>
      <c r="BH15" s="2">
        <v>2</v>
      </c>
      <c r="BI15" s="2">
        <v>2</v>
      </c>
      <c r="BJ15" s="2">
        <v>12</v>
      </c>
      <c r="BK15" s="2">
        <v>12</v>
      </c>
      <c r="BL15" s="2">
        <v>5</v>
      </c>
      <c r="BM15" s="2">
        <v>6</v>
      </c>
      <c r="BN15" s="2">
        <v>7</v>
      </c>
      <c r="BO15" s="2">
        <v>2</v>
      </c>
      <c r="BP15" s="2">
        <v>12</v>
      </c>
      <c r="BQ15" s="2">
        <v>2</v>
      </c>
      <c r="BR15" s="2">
        <v>2</v>
      </c>
      <c r="BS15" s="2">
        <v>12</v>
      </c>
      <c r="BT15" s="2">
        <v>2</v>
      </c>
      <c r="BU15" s="2">
        <v>12</v>
      </c>
      <c r="BV15" s="2">
        <v>12</v>
      </c>
      <c r="BW15" s="2">
        <v>12</v>
      </c>
      <c r="BX15" s="2">
        <v>2</v>
      </c>
      <c r="BY15" s="2">
        <v>2</v>
      </c>
      <c r="BZ15" s="2">
        <v>12</v>
      </c>
      <c r="CA15" s="2">
        <v>12</v>
      </c>
      <c r="CC15" s="49">
        <v>6</v>
      </c>
      <c r="CD15" s="2">
        <v>0</v>
      </c>
      <c r="CE15" s="2">
        <v>1146.8899619795891</v>
      </c>
      <c r="CF15" s="2">
        <v>0</v>
      </c>
      <c r="CG15" s="2">
        <v>0</v>
      </c>
      <c r="CH15" s="2">
        <v>552.63756753625637</v>
      </c>
      <c r="CI15" s="2">
        <v>33.513655752035312</v>
      </c>
      <c r="CJ15" s="2">
        <v>203.53275021327241</v>
      </c>
      <c r="CK15" s="2">
        <v>0</v>
      </c>
      <c r="CL15" s="2">
        <v>0</v>
      </c>
      <c r="CM15" s="2">
        <v>0</v>
      </c>
      <c r="CN15" s="2">
        <v>0</v>
      </c>
      <c r="CO15" s="2">
        <v>1136.4917745315911</v>
      </c>
      <c r="CP15" s="2">
        <v>0</v>
      </c>
      <c r="CQ15" s="2">
        <v>0</v>
      </c>
      <c r="CR15" s="2">
        <v>0</v>
      </c>
      <c r="CS15" s="2">
        <v>0</v>
      </c>
      <c r="CT15" s="2">
        <v>0</v>
      </c>
      <c r="CU15" s="2">
        <v>0</v>
      </c>
      <c r="CV15" s="2">
        <v>0</v>
      </c>
      <c r="CW15" s="2">
        <v>0</v>
      </c>
      <c r="CY15" s="49">
        <v>6</v>
      </c>
      <c r="CZ15" s="2">
        <v>0</v>
      </c>
      <c r="DA15" s="2">
        <v>1153</v>
      </c>
      <c r="DB15" s="2">
        <v>0</v>
      </c>
      <c r="DC15" s="2">
        <v>0</v>
      </c>
      <c r="DD15" s="2">
        <v>566</v>
      </c>
      <c r="DE15" s="2">
        <v>43</v>
      </c>
      <c r="DF15" s="2">
        <v>218</v>
      </c>
      <c r="DG15" s="2">
        <v>0</v>
      </c>
      <c r="DH15" s="2">
        <v>0</v>
      </c>
      <c r="DI15" s="2">
        <v>0</v>
      </c>
      <c r="DJ15" s="2">
        <v>0</v>
      </c>
      <c r="DK15" s="2">
        <v>1143</v>
      </c>
      <c r="DL15" s="2">
        <v>0</v>
      </c>
      <c r="DM15" s="2">
        <v>0</v>
      </c>
      <c r="DN15" s="2">
        <v>0</v>
      </c>
      <c r="DO15" s="2">
        <v>0</v>
      </c>
      <c r="DP15" s="2">
        <v>0</v>
      </c>
      <c r="DQ15" s="2">
        <v>0</v>
      </c>
      <c r="DR15" s="2">
        <v>0</v>
      </c>
      <c r="DS15" s="2">
        <v>0</v>
      </c>
      <c r="DU15" s="49">
        <v>6</v>
      </c>
      <c r="DV15" s="2">
        <v>0</v>
      </c>
      <c r="DW15" s="2">
        <v>98696800</v>
      </c>
      <c r="DX15" s="2">
        <v>0</v>
      </c>
      <c r="DY15" s="2">
        <v>0</v>
      </c>
      <c r="DZ15" s="2">
        <v>48449600</v>
      </c>
      <c r="EA15" s="2">
        <v>3680800</v>
      </c>
      <c r="EB15" s="2">
        <v>18660800</v>
      </c>
      <c r="EC15" s="2">
        <v>0</v>
      </c>
      <c r="ED15" s="2">
        <v>0</v>
      </c>
      <c r="EE15" s="2">
        <v>0</v>
      </c>
      <c r="EF15" s="2">
        <v>0</v>
      </c>
      <c r="EG15" s="2">
        <v>97840800</v>
      </c>
      <c r="EH15" s="2">
        <v>0</v>
      </c>
      <c r="EI15" s="2">
        <v>0</v>
      </c>
      <c r="EJ15" s="2">
        <v>0</v>
      </c>
      <c r="EK15" s="2">
        <v>0</v>
      </c>
      <c r="EL15" s="2">
        <v>0</v>
      </c>
      <c r="EM15" s="2">
        <v>0</v>
      </c>
      <c r="EN15" s="2">
        <v>0</v>
      </c>
      <c r="EO15" s="2">
        <v>0</v>
      </c>
      <c r="EQ15" s="49">
        <v>6</v>
      </c>
      <c r="ER15" s="2">
        <v>0</v>
      </c>
      <c r="ES15" s="2">
        <v>98712800</v>
      </c>
      <c r="ET15" s="2">
        <v>0</v>
      </c>
      <c r="EU15" s="2">
        <v>0</v>
      </c>
      <c r="EV15" s="2">
        <v>48465600</v>
      </c>
      <c r="EW15" s="2">
        <v>3696800</v>
      </c>
      <c r="EX15" s="2">
        <v>18676800</v>
      </c>
      <c r="EY15" s="2">
        <v>0</v>
      </c>
      <c r="EZ15" s="2">
        <v>0</v>
      </c>
      <c r="FA15" s="2">
        <v>0</v>
      </c>
      <c r="FB15" s="2">
        <v>0</v>
      </c>
      <c r="FC15" s="2">
        <v>97856800</v>
      </c>
      <c r="FD15" s="2">
        <v>0</v>
      </c>
      <c r="FE15" s="2">
        <v>0</v>
      </c>
      <c r="FF15" s="2">
        <v>0</v>
      </c>
      <c r="FG15" s="2">
        <v>0</v>
      </c>
      <c r="FH15" s="2">
        <v>0</v>
      </c>
      <c r="FI15" s="2">
        <v>0</v>
      </c>
      <c r="FJ15" s="2">
        <v>0</v>
      </c>
      <c r="FK15" s="2">
        <v>0</v>
      </c>
    </row>
    <row r="16" spans="1:167" x14ac:dyDescent="0.25">
      <c r="A16" s="9">
        <v>8</v>
      </c>
      <c r="B16" s="11">
        <v>8799</v>
      </c>
      <c r="D16" s="29">
        <f t="shared" si="1"/>
        <v>7.8621466099574683E-2</v>
      </c>
      <c r="G16" s="18">
        <v>8</v>
      </c>
      <c r="H16" s="15">
        <v>20.125442743301392</v>
      </c>
      <c r="I16" s="2">
        <v>49.180859327316284</v>
      </c>
      <c r="J16" s="2"/>
      <c r="K16" s="2">
        <v>45.979875326156616</v>
      </c>
      <c r="L16" s="2"/>
      <c r="M16" s="2"/>
      <c r="N16" s="2"/>
      <c r="O16" s="2">
        <v>0</v>
      </c>
      <c r="P16" s="2">
        <v>0.84733366966247559</v>
      </c>
      <c r="Q16" s="2">
        <v>88.563674688339233</v>
      </c>
      <c r="R16" s="2"/>
      <c r="S16" s="2"/>
      <c r="T16" s="2"/>
      <c r="U16" s="2"/>
      <c r="V16" s="2">
        <v>34.211724996566772</v>
      </c>
      <c r="W16" s="2">
        <v>26.11202597618103</v>
      </c>
      <c r="X16" s="2">
        <v>55.013364553451538</v>
      </c>
      <c r="Y16" s="2"/>
      <c r="Z16" s="2"/>
      <c r="AA16" s="2"/>
      <c r="AC16" s="39">
        <f t="shared" si="2"/>
        <v>320.03430128097534</v>
      </c>
      <c r="AD16" s="2">
        <f t="shared" si="3"/>
        <v>8</v>
      </c>
      <c r="AF16" s="2">
        <v>11</v>
      </c>
      <c r="AG16" s="2">
        <f t="shared" si="0"/>
        <v>878.2</v>
      </c>
      <c r="AJ16" s="49">
        <v>7</v>
      </c>
      <c r="AK16" s="2">
        <f t="shared" si="5"/>
        <v>39.57010883162372</v>
      </c>
      <c r="AL16" s="2">
        <f t="shared" si="6"/>
        <v>45.638466349762332</v>
      </c>
      <c r="AM16" s="2">
        <f t="shared" si="7"/>
        <v>20.69622842131599</v>
      </c>
      <c r="AN16" s="2">
        <f t="shared" si="8"/>
        <v>57.087965974480873</v>
      </c>
      <c r="AO16" s="2">
        <f t="shared" si="9"/>
        <v>18.364604703527647</v>
      </c>
      <c r="AP16" s="2">
        <f t="shared" si="10"/>
        <v>57.769045534150614</v>
      </c>
      <c r="AQ16" s="2">
        <f t="shared" si="11"/>
        <v>42.134894921190899</v>
      </c>
      <c r="AR16" s="2">
        <f t="shared" si="12"/>
        <v>53.989360770577939</v>
      </c>
      <c r="AS16" s="2">
        <f t="shared" si="13"/>
        <v>23.4573617713285</v>
      </c>
      <c r="AT16" s="2">
        <f t="shared" si="14"/>
        <v>13.658406304728548</v>
      </c>
      <c r="AU16" s="2">
        <f t="shared" si="15"/>
        <v>53.88505128846635</v>
      </c>
      <c r="AV16" s="2">
        <f t="shared" si="16"/>
        <v>7.6943582687015271</v>
      </c>
      <c r="AW16" s="2">
        <f t="shared" si="17"/>
        <v>43.613635226419817</v>
      </c>
      <c r="AX16" s="2">
        <f t="shared" si="18"/>
        <v>47.086527395546668</v>
      </c>
      <c r="AY16" s="2">
        <f t="shared" si="19"/>
        <v>17.033124843632727</v>
      </c>
      <c r="AZ16" s="2">
        <f t="shared" si="20"/>
        <v>52.203827870903183</v>
      </c>
      <c r="BA16" s="2">
        <f t="shared" si="21"/>
        <v>11.584488366274707</v>
      </c>
      <c r="BB16" s="2">
        <f t="shared" si="22"/>
        <v>18.143714035526646</v>
      </c>
      <c r="BC16" s="2">
        <f t="shared" si="23"/>
        <v>51.038016012009017</v>
      </c>
      <c r="BD16" s="2">
        <f t="shared" si="24"/>
        <v>12.050813109832376</v>
      </c>
      <c r="BG16" s="49">
        <v>7</v>
      </c>
      <c r="BH16" s="2">
        <v>6</v>
      </c>
      <c r="BI16" s="2">
        <v>6</v>
      </c>
      <c r="BJ16" s="2">
        <v>6</v>
      </c>
      <c r="BK16" s="2">
        <v>4</v>
      </c>
      <c r="BL16" s="2">
        <v>6</v>
      </c>
      <c r="BM16" s="2">
        <v>6</v>
      </c>
      <c r="BN16" s="2">
        <v>7</v>
      </c>
      <c r="BO16" s="2">
        <v>6</v>
      </c>
      <c r="BP16" s="2">
        <v>4</v>
      </c>
      <c r="BQ16" s="2">
        <v>4</v>
      </c>
      <c r="BR16" s="2">
        <v>6</v>
      </c>
      <c r="BS16" s="2">
        <v>6</v>
      </c>
      <c r="BT16" s="2">
        <v>4</v>
      </c>
      <c r="BU16" s="2">
        <v>4</v>
      </c>
      <c r="BV16" s="2">
        <v>6</v>
      </c>
      <c r="BW16" s="2">
        <v>16</v>
      </c>
      <c r="BX16" s="2">
        <v>6</v>
      </c>
      <c r="BY16" s="2">
        <v>4</v>
      </c>
      <c r="BZ16" s="2">
        <v>6</v>
      </c>
      <c r="CA16" s="2">
        <v>6</v>
      </c>
      <c r="CC16" s="49">
        <v>7</v>
      </c>
      <c r="CD16" s="2">
        <v>0</v>
      </c>
      <c r="CE16" s="2">
        <v>0</v>
      </c>
      <c r="CF16" s="2">
        <v>0</v>
      </c>
      <c r="CG16" s="2">
        <v>140.5300550822021</v>
      </c>
      <c r="CH16" s="2">
        <v>0</v>
      </c>
      <c r="CI16" s="2">
        <v>203.53275021327241</v>
      </c>
      <c r="CJ16" s="2">
        <v>12.34023423100823</v>
      </c>
      <c r="CK16" s="2">
        <v>0</v>
      </c>
      <c r="CL16" s="2">
        <v>0</v>
      </c>
      <c r="CM16" s="2">
        <v>0</v>
      </c>
      <c r="CN16" s="2">
        <v>0</v>
      </c>
      <c r="CO16" s="2">
        <v>0</v>
      </c>
      <c r="CP16" s="2">
        <v>0</v>
      </c>
      <c r="CQ16" s="2">
        <v>0</v>
      </c>
      <c r="CR16" s="2">
        <v>0</v>
      </c>
      <c r="CS16" s="2">
        <v>35.971535245236922</v>
      </c>
      <c r="CT16" s="2">
        <v>0</v>
      </c>
      <c r="CU16" s="2">
        <v>0</v>
      </c>
      <c r="CV16" s="2">
        <v>0</v>
      </c>
      <c r="CW16" s="2">
        <v>0</v>
      </c>
      <c r="CY16" s="49">
        <v>7</v>
      </c>
      <c r="CZ16" s="2">
        <v>0</v>
      </c>
      <c r="DA16" s="2">
        <v>0</v>
      </c>
      <c r="DB16" s="2">
        <v>0</v>
      </c>
      <c r="DC16" s="2">
        <v>154</v>
      </c>
      <c r="DD16" s="2">
        <v>0</v>
      </c>
      <c r="DE16" s="2">
        <v>218</v>
      </c>
      <c r="DF16" s="2">
        <v>20</v>
      </c>
      <c r="DG16" s="2">
        <v>0</v>
      </c>
      <c r="DH16" s="2">
        <v>0</v>
      </c>
      <c r="DI16" s="2">
        <v>0</v>
      </c>
      <c r="DJ16" s="2">
        <v>0</v>
      </c>
      <c r="DK16" s="2">
        <v>0</v>
      </c>
      <c r="DL16" s="2">
        <v>0</v>
      </c>
      <c r="DM16" s="2">
        <v>0</v>
      </c>
      <c r="DN16" s="2">
        <v>0</v>
      </c>
      <c r="DO16" s="2">
        <v>46</v>
      </c>
      <c r="DP16" s="2">
        <v>0</v>
      </c>
      <c r="DQ16" s="2">
        <v>0</v>
      </c>
      <c r="DR16" s="2">
        <v>0</v>
      </c>
      <c r="DS16" s="2">
        <v>0</v>
      </c>
      <c r="DU16" s="49">
        <v>7</v>
      </c>
      <c r="DV16" s="2">
        <v>0</v>
      </c>
      <c r="DW16" s="2">
        <v>0</v>
      </c>
      <c r="DX16" s="2">
        <v>0</v>
      </c>
      <c r="DY16" s="2">
        <v>13182400</v>
      </c>
      <c r="DZ16" s="2">
        <v>0</v>
      </c>
      <c r="EA16" s="2">
        <v>18660800</v>
      </c>
      <c r="EB16" s="2">
        <v>1712000</v>
      </c>
      <c r="EC16" s="2">
        <v>0</v>
      </c>
      <c r="ED16" s="2">
        <v>0</v>
      </c>
      <c r="EE16" s="2">
        <v>0</v>
      </c>
      <c r="EF16" s="2">
        <v>0</v>
      </c>
      <c r="EG16" s="2">
        <v>0</v>
      </c>
      <c r="EH16" s="2">
        <v>0</v>
      </c>
      <c r="EI16" s="2">
        <v>0</v>
      </c>
      <c r="EJ16" s="2">
        <v>0</v>
      </c>
      <c r="EK16" s="2">
        <v>3937600</v>
      </c>
      <c r="EL16" s="2">
        <v>0</v>
      </c>
      <c r="EM16" s="2">
        <v>0</v>
      </c>
      <c r="EN16" s="2">
        <v>0</v>
      </c>
      <c r="EO16" s="2">
        <v>0</v>
      </c>
      <c r="EQ16" s="49">
        <v>7</v>
      </c>
      <c r="ER16" s="2">
        <v>0</v>
      </c>
      <c r="ES16" s="2">
        <v>0</v>
      </c>
      <c r="ET16" s="2">
        <v>0</v>
      </c>
      <c r="EU16" s="2">
        <v>13198400</v>
      </c>
      <c r="EV16" s="2">
        <v>0</v>
      </c>
      <c r="EW16" s="2">
        <v>18676800</v>
      </c>
      <c r="EX16" s="2">
        <v>1728000</v>
      </c>
      <c r="EY16" s="2">
        <v>0</v>
      </c>
      <c r="EZ16" s="2">
        <v>0</v>
      </c>
      <c r="FA16" s="2">
        <v>0</v>
      </c>
      <c r="FB16" s="2">
        <v>0</v>
      </c>
      <c r="FC16" s="2">
        <v>0</v>
      </c>
      <c r="FD16" s="2">
        <v>0</v>
      </c>
      <c r="FE16" s="2">
        <v>0</v>
      </c>
      <c r="FF16" s="2">
        <v>0</v>
      </c>
      <c r="FG16" s="2">
        <v>3953600</v>
      </c>
      <c r="FH16" s="2">
        <v>0</v>
      </c>
      <c r="FI16" s="2">
        <v>0</v>
      </c>
      <c r="FJ16" s="2">
        <v>0</v>
      </c>
      <c r="FK16" s="2">
        <v>0</v>
      </c>
    </row>
    <row r="17" spans="1:167" x14ac:dyDescent="0.25">
      <c r="A17" s="9">
        <v>9</v>
      </c>
      <c r="B17" s="11">
        <v>3823</v>
      </c>
      <c r="D17" s="29">
        <f t="shared" si="1"/>
        <v>3.4159548232603025E-2</v>
      </c>
      <c r="G17" s="18">
        <v>9</v>
      </c>
      <c r="H17" s="15"/>
      <c r="I17" s="2"/>
      <c r="J17" s="2">
        <v>72.501403093338013</v>
      </c>
      <c r="K17" s="2"/>
      <c r="L17" s="2">
        <v>85.773998498916626</v>
      </c>
      <c r="M17" s="2"/>
      <c r="N17" s="2"/>
      <c r="O17" s="2">
        <v>0.84733366966247559</v>
      </c>
      <c r="P17" s="2">
        <v>0</v>
      </c>
      <c r="Q17" s="2">
        <v>39.61225152015686</v>
      </c>
      <c r="R17" s="2">
        <v>13.826471567153931</v>
      </c>
      <c r="S17" s="2">
        <v>12.993389368057251</v>
      </c>
      <c r="T17" s="2"/>
      <c r="U17" s="2">
        <v>44.193130731582642</v>
      </c>
      <c r="V17" s="2">
        <v>84.136110544204712</v>
      </c>
      <c r="W17" s="2"/>
      <c r="X17" s="2">
        <v>94.202429056167603</v>
      </c>
      <c r="Y17" s="2">
        <v>31.610924005508423</v>
      </c>
      <c r="Z17" s="2">
        <v>38.063913583755493</v>
      </c>
      <c r="AA17" s="2">
        <v>26.110225915908813</v>
      </c>
      <c r="AC17" s="39">
        <f t="shared" si="2"/>
        <v>543.87158155441284</v>
      </c>
      <c r="AD17" s="2">
        <f t="shared" si="3"/>
        <v>12</v>
      </c>
      <c r="AF17" s="2">
        <v>12</v>
      </c>
      <c r="AG17" s="2">
        <f t="shared" si="0"/>
        <v>125.4</v>
      </c>
      <c r="AJ17" s="49">
        <v>8</v>
      </c>
      <c r="AK17" s="2">
        <f t="shared" si="5"/>
        <v>50.702983487615718</v>
      </c>
      <c r="AL17" s="2">
        <f t="shared" si="6"/>
        <v>58.47864648486366</v>
      </c>
      <c r="AM17" s="2">
        <f t="shared" si="7"/>
        <v>26.519020515386543</v>
      </c>
      <c r="AN17" s="2">
        <f t="shared" si="8"/>
        <v>73.149412059044295</v>
      </c>
      <c r="AO17" s="2">
        <f t="shared" si="9"/>
        <v>23.531404803602705</v>
      </c>
      <c r="AP17" s="2">
        <f t="shared" si="10"/>
        <v>74.022110332749563</v>
      </c>
      <c r="AQ17" s="2">
        <f t="shared" si="11"/>
        <v>53.989360770577946</v>
      </c>
      <c r="AR17" s="2">
        <f t="shared" si="12"/>
        <v>69.179028021015768</v>
      </c>
      <c r="AS17" s="2">
        <f t="shared" si="13"/>
        <v>30.056986489867406</v>
      </c>
      <c r="AT17" s="2">
        <f t="shared" si="14"/>
        <v>17.501138353765327</v>
      </c>
      <c r="AU17" s="2">
        <f t="shared" si="15"/>
        <v>69.045371528646498</v>
      </c>
      <c r="AV17" s="2">
        <f t="shared" si="16"/>
        <v>9.8591318488866673</v>
      </c>
      <c r="AW17" s="2">
        <f t="shared" si="17"/>
        <v>55.884138103577691</v>
      </c>
      <c r="AX17" s="2">
        <f t="shared" si="18"/>
        <v>60.334113084813623</v>
      </c>
      <c r="AY17" s="2">
        <f t="shared" si="19"/>
        <v>21.825318989241936</v>
      </c>
      <c r="AZ17" s="2">
        <f t="shared" si="20"/>
        <v>66.891143357518146</v>
      </c>
      <c r="BA17" s="2">
        <f t="shared" si="21"/>
        <v>14.843732799599701</v>
      </c>
      <c r="BB17" s="2">
        <f t="shared" si="22"/>
        <v>23.248367525644234</v>
      </c>
      <c r="BC17" s="2">
        <f t="shared" si="23"/>
        <v>65.39733550162623</v>
      </c>
      <c r="BD17" s="2">
        <f t="shared" si="24"/>
        <v>15.44125594195647</v>
      </c>
      <c r="BG17" s="49">
        <v>8</v>
      </c>
      <c r="BH17" s="2">
        <v>11</v>
      </c>
      <c r="BI17" s="2">
        <v>11</v>
      </c>
      <c r="BJ17" s="2">
        <v>11</v>
      </c>
      <c r="BK17" s="2">
        <v>11</v>
      </c>
      <c r="BL17" s="2">
        <v>11</v>
      </c>
      <c r="BM17" s="2">
        <v>11</v>
      </c>
      <c r="BN17" s="2">
        <v>11</v>
      </c>
      <c r="BO17" s="2">
        <v>8</v>
      </c>
      <c r="BP17" s="2">
        <v>11</v>
      </c>
      <c r="BQ17" s="2">
        <v>11</v>
      </c>
      <c r="BR17" s="2">
        <v>11</v>
      </c>
      <c r="BS17" s="2">
        <v>11</v>
      </c>
      <c r="BT17" s="2">
        <v>11</v>
      </c>
      <c r="BU17" s="2">
        <v>14</v>
      </c>
      <c r="BV17" s="2">
        <v>11</v>
      </c>
      <c r="BW17" s="2">
        <v>11</v>
      </c>
      <c r="BX17" s="2">
        <v>11</v>
      </c>
      <c r="BY17" s="2">
        <v>11</v>
      </c>
      <c r="BZ17" s="2">
        <v>11</v>
      </c>
      <c r="CA17" s="2">
        <v>11</v>
      </c>
      <c r="CC17" s="49">
        <v>8</v>
      </c>
      <c r="CD17" s="2">
        <v>0</v>
      </c>
      <c r="CE17" s="2">
        <v>0</v>
      </c>
      <c r="CF17" s="2">
        <v>0</v>
      </c>
      <c r="CG17" s="2">
        <v>0</v>
      </c>
      <c r="CH17" s="2">
        <v>0</v>
      </c>
      <c r="CI17" s="2">
        <v>0</v>
      </c>
      <c r="CJ17" s="2">
        <v>0</v>
      </c>
      <c r="CK17" s="2">
        <v>93.615713698933135</v>
      </c>
      <c r="CL17" s="2">
        <v>0</v>
      </c>
      <c r="CM17" s="2">
        <v>0</v>
      </c>
      <c r="CN17" s="2">
        <v>757.6140580732814</v>
      </c>
      <c r="CO17" s="2">
        <v>0</v>
      </c>
      <c r="CP17" s="2">
        <v>0</v>
      </c>
      <c r="CQ17" s="2">
        <v>91.570228227785464</v>
      </c>
      <c r="CR17" s="2">
        <v>0</v>
      </c>
      <c r="CS17" s="2">
        <v>0</v>
      </c>
      <c r="CT17" s="2">
        <v>0</v>
      </c>
      <c r="CU17" s="2">
        <v>0</v>
      </c>
      <c r="CV17" s="2">
        <v>0</v>
      </c>
      <c r="CW17" s="2">
        <v>0</v>
      </c>
      <c r="CY17" s="49">
        <v>8</v>
      </c>
      <c r="CZ17" s="2">
        <v>0</v>
      </c>
      <c r="DA17" s="2">
        <v>0</v>
      </c>
      <c r="DB17" s="2">
        <v>0</v>
      </c>
      <c r="DC17" s="2">
        <v>0</v>
      </c>
      <c r="DD17" s="2">
        <v>0</v>
      </c>
      <c r="DE17" s="2">
        <v>0</v>
      </c>
      <c r="DF17" s="2">
        <v>0</v>
      </c>
      <c r="DG17" s="2">
        <v>106</v>
      </c>
      <c r="DH17" s="2">
        <v>0</v>
      </c>
      <c r="DI17" s="2">
        <v>0</v>
      </c>
      <c r="DJ17" s="2">
        <v>769</v>
      </c>
      <c r="DK17" s="2">
        <v>0</v>
      </c>
      <c r="DL17" s="2">
        <v>0</v>
      </c>
      <c r="DM17" s="2">
        <v>104</v>
      </c>
      <c r="DN17" s="2">
        <v>0</v>
      </c>
      <c r="DO17" s="2">
        <v>0</v>
      </c>
      <c r="DP17" s="2">
        <v>0</v>
      </c>
      <c r="DQ17" s="2">
        <v>0</v>
      </c>
      <c r="DR17" s="2">
        <v>0</v>
      </c>
      <c r="DS17" s="2">
        <v>0</v>
      </c>
      <c r="DU17" s="49">
        <v>8</v>
      </c>
      <c r="DV17" s="2">
        <v>0</v>
      </c>
      <c r="DW17" s="2">
        <v>0</v>
      </c>
      <c r="DX17" s="2">
        <v>0</v>
      </c>
      <c r="DY17" s="2">
        <v>0</v>
      </c>
      <c r="DZ17" s="2">
        <v>0</v>
      </c>
      <c r="EA17" s="2">
        <v>0</v>
      </c>
      <c r="EB17" s="2">
        <v>0</v>
      </c>
      <c r="EC17" s="2">
        <v>9073600</v>
      </c>
      <c r="ED17" s="2">
        <v>0</v>
      </c>
      <c r="EE17" s="2">
        <v>0</v>
      </c>
      <c r="EF17" s="2">
        <v>65826400</v>
      </c>
      <c r="EG17" s="2">
        <v>0</v>
      </c>
      <c r="EH17" s="2">
        <v>0</v>
      </c>
      <c r="EI17" s="2">
        <v>8902400</v>
      </c>
      <c r="EJ17" s="2">
        <v>0</v>
      </c>
      <c r="EK17" s="2">
        <v>0</v>
      </c>
      <c r="EL17" s="2">
        <v>0</v>
      </c>
      <c r="EM17" s="2">
        <v>0</v>
      </c>
      <c r="EN17" s="2">
        <v>0</v>
      </c>
      <c r="EO17" s="2">
        <v>0</v>
      </c>
      <c r="EQ17" s="49">
        <v>8</v>
      </c>
      <c r="ER17" s="2">
        <v>0</v>
      </c>
      <c r="ES17" s="2">
        <v>0</v>
      </c>
      <c r="ET17" s="2">
        <v>0</v>
      </c>
      <c r="EU17" s="2">
        <v>0</v>
      </c>
      <c r="EV17" s="2">
        <v>0</v>
      </c>
      <c r="EW17" s="2">
        <v>0</v>
      </c>
      <c r="EX17" s="2">
        <v>0</v>
      </c>
      <c r="EY17" s="2">
        <v>9089600</v>
      </c>
      <c r="EZ17" s="2">
        <v>0</v>
      </c>
      <c r="FA17" s="2">
        <v>0</v>
      </c>
      <c r="FB17" s="2">
        <v>65842400</v>
      </c>
      <c r="FC17" s="2">
        <v>0</v>
      </c>
      <c r="FD17" s="2">
        <v>0</v>
      </c>
      <c r="FE17" s="2">
        <v>8918400</v>
      </c>
      <c r="FF17" s="2">
        <v>0</v>
      </c>
      <c r="FG17" s="2">
        <v>0</v>
      </c>
      <c r="FH17" s="2">
        <v>0</v>
      </c>
      <c r="FI17" s="2">
        <v>0</v>
      </c>
      <c r="FJ17" s="2">
        <v>0</v>
      </c>
      <c r="FK17" s="2">
        <v>0</v>
      </c>
    </row>
    <row r="18" spans="1:167" x14ac:dyDescent="0.25">
      <c r="A18" s="9">
        <v>10</v>
      </c>
      <c r="B18" s="11">
        <v>2226</v>
      </c>
      <c r="D18" s="29">
        <f t="shared" si="1"/>
        <v>1.988991743807856E-2</v>
      </c>
      <c r="G18" s="18">
        <v>10</v>
      </c>
      <c r="H18" s="15"/>
      <c r="I18" s="2">
        <v>57.4748694896698</v>
      </c>
      <c r="J18" s="2">
        <v>1.463395357131958</v>
      </c>
      <c r="K18" s="2">
        <v>72.872823476791382</v>
      </c>
      <c r="L18" s="2">
        <v>45.171934366226196</v>
      </c>
      <c r="M18" s="2">
        <v>12.392252683639526</v>
      </c>
      <c r="N18" s="2">
        <v>16.130000352859497</v>
      </c>
      <c r="O18" s="2">
        <v>88.563674688339233</v>
      </c>
      <c r="P18" s="2">
        <v>39.61225152015686</v>
      </c>
      <c r="Q18" s="2">
        <v>0</v>
      </c>
      <c r="R18" s="2"/>
      <c r="S18" s="2">
        <v>1.2033164501190186</v>
      </c>
      <c r="T18" s="2"/>
      <c r="U18" s="2"/>
      <c r="V18" s="2">
        <v>45.296400785446167</v>
      </c>
      <c r="W18" s="2">
        <v>54.25984263420105</v>
      </c>
      <c r="X18" s="2"/>
      <c r="Y18" s="2"/>
      <c r="Z18" s="2"/>
      <c r="AA18" s="2"/>
      <c r="AC18" s="39">
        <f t="shared" si="2"/>
        <v>434.44076180458069</v>
      </c>
      <c r="AD18" s="2">
        <f t="shared" si="3"/>
        <v>11</v>
      </c>
      <c r="AF18" s="2">
        <v>13</v>
      </c>
      <c r="AG18" s="2">
        <f t="shared" si="0"/>
        <v>710.80000000000007</v>
      </c>
      <c r="AJ18" s="49">
        <v>9</v>
      </c>
      <c r="AK18" s="2">
        <f t="shared" si="5"/>
        <v>22.029492655205694</v>
      </c>
      <c r="AL18" s="2">
        <f t="shared" si="6"/>
        <v>25.407871975410135</v>
      </c>
      <c r="AM18" s="2">
        <f t="shared" si="7"/>
        <v>11.522015618857001</v>
      </c>
      <c r="AN18" s="2">
        <f t="shared" si="8"/>
        <v>31.78204367561386</v>
      </c>
      <c r="AO18" s="2">
        <f t="shared" si="9"/>
        <v>10.223952786018085</v>
      </c>
      <c r="AP18" s="2">
        <f t="shared" si="10"/>
        <v>32.161214660995746</v>
      </c>
      <c r="AQ18" s="2">
        <f t="shared" si="11"/>
        <v>23.4573617713285</v>
      </c>
      <c r="AR18" s="2">
        <f t="shared" si="12"/>
        <v>30.056986489867402</v>
      </c>
      <c r="AS18" s="2">
        <f t="shared" si="13"/>
        <v>13.059195289324137</v>
      </c>
      <c r="AT18" s="2">
        <f t="shared" si="14"/>
        <v>7.6039154365774335</v>
      </c>
      <c r="AU18" s="2">
        <f t="shared" si="15"/>
        <v>29.998915257871978</v>
      </c>
      <c r="AV18" s="2">
        <f t="shared" si="16"/>
        <v>4.2836073483684194</v>
      </c>
      <c r="AW18" s="2">
        <f t="shared" si="17"/>
        <v>24.280606883734229</v>
      </c>
      <c r="AX18" s="2">
        <f t="shared" si="18"/>
        <v>26.214037313699563</v>
      </c>
      <c r="AY18" s="2">
        <f t="shared" si="19"/>
        <v>9.4826905893706002</v>
      </c>
      <c r="AZ18" s="2">
        <f t="shared" si="20"/>
        <v>29.062943636298652</v>
      </c>
      <c r="BA18" s="2">
        <f t="shared" si="21"/>
        <v>6.449322706315451</v>
      </c>
      <c r="BB18" s="2">
        <f t="shared" si="22"/>
        <v>10.100978412380714</v>
      </c>
      <c r="BC18" s="2">
        <f t="shared" si="23"/>
        <v>28.413912219879197</v>
      </c>
      <c r="BD18" s="2">
        <f t="shared" si="24"/>
        <v>6.7089352728832345</v>
      </c>
      <c r="BG18" s="49">
        <v>9</v>
      </c>
      <c r="BH18" s="2">
        <v>4</v>
      </c>
      <c r="BI18" s="2">
        <v>12</v>
      </c>
      <c r="BJ18" s="2">
        <v>4</v>
      </c>
      <c r="BK18" s="2">
        <v>4</v>
      </c>
      <c r="BL18" s="2">
        <v>12</v>
      </c>
      <c r="BM18" s="2">
        <v>12</v>
      </c>
      <c r="BN18" s="2">
        <v>4</v>
      </c>
      <c r="BO18" s="2">
        <v>12</v>
      </c>
      <c r="BP18" s="2">
        <v>9</v>
      </c>
      <c r="BQ18" s="2">
        <v>4</v>
      </c>
      <c r="BR18" s="2">
        <v>12</v>
      </c>
      <c r="BS18" s="2">
        <v>12</v>
      </c>
      <c r="BT18" s="2">
        <v>4</v>
      </c>
      <c r="BU18" s="2">
        <v>4</v>
      </c>
      <c r="BV18" s="2">
        <v>12</v>
      </c>
      <c r="BW18" s="2">
        <v>4</v>
      </c>
      <c r="BX18" s="2">
        <v>4</v>
      </c>
      <c r="BY18" s="2">
        <v>4</v>
      </c>
      <c r="BZ18" s="2">
        <v>12</v>
      </c>
      <c r="CA18" s="2">
        <v>20</v>
      </c>
      <c r="CC18" s="49">
        <v>9</v>
      </c>
      <c r="CD18" s="2">
        <v>0</v>
      </c>
      <c r="CE18" s="2">
        <v>0</v>
      </c>
      <c r="CF18" s="2">
        <v>0</v>
      </c>
      <c r="CG18" s="2">
        <v>215.3164077557426</v>
      </c>
      <c r="CH18" s="2">
        <v>0</v>
      </c>
      <c r="CI18" s="2">
        <v>0</v>
      </c>
      <c r="CJ18" s="2">
        <v>0</v>
      </c>
      <c r="CK18" s="2">
        <v>0</v>
      </c>
      <c r="CL18" s="2">
        <v>17.249480247290659</v>
      </c>
      <c r="CM18" s="2">
        <v>0</v>
      </c>
      <c r="CN18" s="2">
        <v>0</v>
      </c>
      <c r="CO18" s="2">
        <v>170.6193956755732</v>
      </c>
      <c r="CP18" s="2">
        <v>0</v>
      </c>
      <c r="CQ18" s="2">
        <v>0</v>
      </c>
      <c r="CR18" s="2">
        <v>0</v>
      </c>
      <c r="CS18" s="2">
        <v>0</v>
      </c>
      <c r="CT18" s="2">
        <v>0</v>
      </c>
      <c r="CU18" s="2">
        <v>0</v>
      </c>
      <c r="CV18" s="2">
        <v>0</v>
      </c>
      <c r="CW18" s="2">
        <v>46.37635362141782</v>
      </c>
      <c r="CY18" s="49">
        <v>9</v>
      </c>
      <c r="CZ18" s="2">
        <v>0</v>
      </c>
      <c r="DA18" s="2">
        <v>0</v>
      </c>
      <c r="DB18" s="2">
        <v>0</v>
      </c>
      <c r="DC18" s="2">
        <v>230</v>
      </c>
      <c r="DD18" s="2">
        <v>0</v>
      </c>
      <c r="DE18" s="2">
        <v>0</v>
      </c>
      <c r="DF18" s="2">
        <v>0</v>
      </c>
      <c r="DG18" s="2">
        <v>0</v>
      </c>
      <c r="DH18" s="2">
        <v>25</v>
      </c>
      <c r="DI18" s="2">
        <v>0</v>
      </c>
      <c r="DJ18" s="2">
        <v>0</v>
      </c>
      <c r="DK18" s="2">
        <v>185</v>
      </c>
      <c r="DL18" s="2">
        <v>0</v>
      </c>
      <c r="DM18" s="2">
        <v>0</v>
      </c>
      <c r="DN18" s="2">
        <v>0</v>
      </c>
      <c r="DO18" s="2">
        <v>0</v>
      </c>
      <c r="DP18" s="2">
        <v>0</v>
      </c>
      <c r="DQ18" s="2">
        <v>0</v>
      </c>
      <c r="DR18" s="2">
        <v>0</v>
      </c>
      <c r="DS18" s="2">
        <v>57</v>
      </c>
      <c r="DU18" s="49">
        <v>9</v>
      </c>
      <c r="DV18" s="2">
        <v>0</v>
      </c>
      <c r="DW18" s="2">
        <v>0</v>
      </c>
      <c r="DX18" s="2">
        <v>0</v>
      </c>
      <c r="DY18" s="2">
        <v>19688000</v>
      </c>
      <c r="DZ18" s="2">
        <v>0</v>
      </c>
      <c r="EA18" s="2">
        <v>0</v>
      </c>
      <c r="EB18" s="2">
        <v>0</v>
      </c>
      <c r="EC18" s="2">
        <v>0</v>
      </c>
      <c r="ED18" s="2">
        <v>2140000</v>
      </c>
      <c r="EE18" s="2">
        <v>0</v>
      </c>
      <c r="EF18" s="2">
        <v>0</v>
      </c>
      <c r="EG18" s="2">
        <v>15836000</v>
      </c>
      <c r="EH18" s="2">
        <v>0</v>
      </c>
      <c r="EI18" s="2">
        <v>0</v>
      </c>
      <c r="EJ18" s="2">
        <v>0</v>
      </c>
      <c r="EK18" s="2">
        <v>0</v>
      </c>
      <c r="EL18" s="2">
        <v>0</v>
      </c>
      <c r="EM18" s="2">
        <v>0</v>
      </c>
      <c r="EN18" s="2">
        <v>0</v>
      </c>
      <c r="EO18" s="2">
        <v>4879200</v>
      </c>
      <c r="EQ18" s="49">
        <v>9</v>
      </c>
      <c r="ER18" s="2">
        <v>0</v>
      </c>
      <c r="ES18" s="2">
        <v>0</v>
      </c>
      <c r="ET18" s="2">
        <v>0</v>
      </c>
      <c r="EU18" s="2">
        <v>19704000</v>
      </c>
      <c r="EV18" s="2">
        <v>0</v>
      </c>
      <c r="EW18" s="2">
        <v>0</v>
      </c>
      <c r="EX18" s="2">
        <v>0</v>
      </c>
      <c r="EY18" s="2">
        <v>0</v>
      </c>
      <c r="EZ18" s="2">
        <v>2156000</v>
      </c>
      <c r="FA18" s="2">
        <v>0</v>
      </c>
      <c r="FB18" s="2">
        <v>0</v>
      </c>
      <c r="FC18" s="2">
        <v>15852000</v>
      </c>
      <c r="FD18" s="2">
        <v>0</v>
      </c>
      <c r="FE18" s="2">
        <v>0</v>
      </c>
      <c r="FF18" s="2">
        <v>0</v>
      </c>
      <c r="FG18" s="2">
        <v>0</v>
      </c>
      <c r="FH18" s="2">
        <v>0</v>
      </c>
      <c r="FI18" s="2">
        <v>0</v>
      </c>
      <c r="FJ18" s="2">
        <v>0</v>
      </c>
      <c r="FK18" s="2">
        <v>4895200</v>
      </c>
    </row>
    <row r="19" spans="1:167" x14ac:dyDescent="0.25">
      <c r="A19" s="9">
        <v>11</v>
      </c>
      <c r="B19" s="11">
        <v>8782</v>
      </c>
      <c r="D19" s="29">
        <f t="shared" si="1"/>
        <v>7.8469566460559706E-2</v>
      </c>
      <c r="G19" s="18">
        <v>11</v>
      </c>
      <c r="H19" s="15"/>
      <c r="I19" s="2">
        <v>32.028216123580933</v>
      </c>
      <c r="J19" s="2"/>
      <c r="K19" s="2">
        <v>61.10796332359314</v>
      </c>
      <c r="L19" s="2"/>
      <c r="M19" s="2"/>
      <c r="N19" s="2"/>
      <c r="O19" s="2"/>
      <c r="P19" s="2">
        <v>13.826471567153931</v>
      </c>
      <c r="Q19" s="2"/>
      <c r="R19" s="2">
        <v>0</v>
      </c>
      <c r="S19" s="2">
        <v>21.191293001174927</v>
      </c>
      <c r="T19" s="2">
        <v>96.999293565750122</v>
      </c>
      <c r="U19" s="2">
        <v>62.823468446731567</v>
      </c>
      <c r="V19" s="2">
        <v>52.306395769119263</v>
      </c>
      <c r="W19" s="2">
        <v>75.653153657913208</v>
      </c>
      <c r="X19" s="2">
        <v>69.631320238113403</v>
      </c>
      <c r="Y19" s="2">
        <v>47.570973634719849</v>
      </c>
      <c r="Z19" s="2"/>
      <c r="AA19" s="2">
        <v>91.467553377151489</v>
      </c>
      <c r="AC19" s="39">
        <f t="shared" si="2"/>
        <v>624.60610270500183</v>
      </c>
      <c r="AD19" s="2">
        <f t="shared" si="3"/>
        <v>11</v>
      </c>
      <c r="AF19" s="2">
        <v>14</v>
      </c>
      <c r="AG19" s="2">
        <f t="shared" si="0"/>
        <v>767.40000000000009</v>
      </c>
      <c r="AJ19" s="49">
        <v>10</v>
      </c>
      <c r="AK19" s="2">
        <f t="shared" si="5"/>
        <v>12.827007755816865</v>
      </c>
      <c r="AL19" s="2">
        <f t="shared" si="6"/>
        <v>14.794120590442835</v>
      </c>
      <c r="AM19" s="2">
        <f t="shared" si="7"/>
        <v>6.7088691518638983</v>
      </c>
      <c r="AN19" s="2">
        <f t="shared" si="8"/>
        <v>18.505579184388296</v>
      </c>
      <c r="AO19" s="2">
        <f t="shared" si="9"/>
        <v>5.9530522892169131</v>
      </c>
      <c r="AP19" s="2">
        <f t="shared" si="10"/>
        <v>18.726357267950963</v>
      </c>
      <c r="AQ19" s="2">
        <f t="shared" si="11"/>
        <v>13.658406304728549</v>
      </c>
      <c r="AR19" s="2">
        <f t="shared" si="12"/>
        <v>17.501138353765327</v>
      </c>
      <c r="AS19" s="2">
        <f t="shared" si="13"/>
        <v>7.6039154365774344</v>
      </c>
      <c r="AT19" s="2">
        <f t="shared" si="14"/>
        <v>4.4274956217162877</v>
      </c>
      <c r="AU19" s="2">
        <f t="shared" si="15"/>
        <v>17.467325494120594</v>
      </c>
      <c r="AV19" s="2">
        <f t="shared" si="16"/>
        <v>2.4941956467350517</v>
      </c>
      <c r="AW19" s="2">
        <f t="shared" si="17"/>
        <v>14.137753314986242</v>
      </c>
      <c r="AX19" s="2">
        <f t="shared" si="18"/>
        <v>15.263522641981488</v>
      </c>
      <c r="AY19" s="2">
        <f t="shared" si="19"/>
        <v>5.5214410808106082</v>
      </c>
      <c r="AZ19" s="2">
        <f t="shared" si="20"/>
        <v>16.922341756317238</v>
      </c>
      <c r="BA19" s="2">
        <f t="shared" si="21"/>
        <v>3.7552164123092324</v>
      </c>
      <c r="BB19" s="2">
        <f t="shared" si="22"/>
        <v>5.8814485864398298</v>
      </c>
      <c r="BC19" s="2">
        <f t="shared" si="23"/>
        <v>16.544433324993747</v>
      </c>
      <c r="BD19" s="2">
        <f t="shared" si="24"/>
        <v>3.9063797848386295</v>
      </c>
      <c r="BG19" s="49">
        <v>10</v>
      </c>
      <c r="BH19" s="2">
        <v>11</v>
      </c>
      <c r="BI19" s="2">
        <v>11</v>
      </c>
      <c r="BJ19" s="2">
        <v>3</v>
      </c>
      <c r="BK19" s="2">
        <v>14</v>
      </c>
      <c r="BL19" s="2">
        <v>11</v>
      </c>
      <c r="BM19" s="2">
        <v>11</v>
      </c>
      <c r="BN19" s="2">
        <v>14</v>
      </c>
      <c r="BO19" s="2">
        <v>11</v>
      </c>
      <c r="BP19" s="2">
        <v>14</v>
      </c>
      <c r="BQ19" s="2">
        <v>10</v>
      </c>
      <c r="BR19" s="2">
        <v>11</v>
      </c>
      <c r="BS19" s="2">
        <v>11</v>
      </c>
      <c r="BT19" s="2">
        <v>13</v>
      </c>
      <c r="BU19" s="2">
        <v>14</v>
      </c>
      <c r="BV19" s="2">
        <v>11</v>
      </c>
      <c r="BW19" s="2">
        <v>11</v>
      </c>
      <c r="BX19" s="2">
        <v>11</v>
      </c>
      <c r="BY19" s="2">
        <v>11</v>
      </c>
      <c r="BZ19" s="2">
        <v>11</v>
      </c>
      <c r="CA19" s="2">
        <v>20</v>
      </c>
      <c r="CC19" s="49">
        <v>10</v>
      </c>
      <c r="CD19" s="2">
        <v>0</v>
      </c>
      <c r="CE19" s="2">
        <v>0</v>
      </c>
      <c r="CF19" s="2">
        <v>179.20588315832711</v>
      </c>
      <c r="CG19" s="2">
        <v>0</v>
      </c>
      <c r="CH19" s="2">
        <v>0</v>
      </c>
      <c r="CI19" s="2">
        <v>0</v>
      </c>
      <c r="CJ19" s="2">
        <v>0</v>
      </c>
      <c r="CK19" s="2">
        <v>0</v>
      </c>
      <c r="CL19" s="2">
        <v>0</v>
      </c>
      <c r="CM19" s="2">
        <v>18.791325869677411</v>
      </c>
      <c r="CN19" s="2">
        <v>328.05205320751139</v>
      </c>
      <c r="CO19" s="2">
        <v>0</v>
      </c>
      <c r="CP19" s="2">
        <v>49.283668074439973</v>
      </c>
      <c r="CQ19" s="2">
        <v>140.10232019294571</v>
      </c>
      <c r="CR19" s="2">
        <v>0</v>
      </c>
      <c r="CS19" s="2">
        <v>0</v>
      </c>
      <c r="CT19" s="2">
        <v>0</v>
      </c>
      <c r="CU19" s="2">
        <v>0</v>
      </c>
      <c r="CV19" s="2">
        <v>0</v>
      </c>
      <c r="CW19" s="2">
        <v>41.122181381583808</v>
      </c>
      <c r="CY19" s="49">
        <v>10</v>
      </c>
      <c r="CZ19" s="2">
        <v>0</v>
      </c>
      <c r="DA19" s="2">
        <v>0</v>
      </c>
      <c r="DB19" s="2">
        <v>193</v>
      </c>
      <c r="DC19" s="2">
        <v>0</v>
      </c>
      <c r="DD19" s="2">
        <v>0</v>
      </c>
      <c r="DE19" s="2">
        <v>0</v>
      </c>
      <c r="DF19" s="2">
        <v>0</v>
      </c>
      <c r="DG19" s="2">
        <v>0</v>
      </c>
      <c r="DH19" s="2">
        <v>0</v>
      </c>
      <c r="DI19" s="2">
        <v>27</v>
      </c>
      <c r="DJ19" s="2">
        <v>343</v>
      </c>
      <c r="DK19" s="2">
        <v>0</v>
      </c>
      <c r="DL19" s="2">
        <v>60</v>
      </c>
      <c r="DM19" s="2">
        <v>154</v>
      </c>
      <c r="DN19" s="2">
        <v>0</v>
      </c>
      <c r="DO19" s="2">
        <v>0</v>
      </c>
      <c r="DP19" s="2">
        <v>0</v>
      </c>
      <c r="DQ19" s="2">
        <v>0</v>
      </c>
      <c r="DR19" s="2">
        <v>0</v>
      </c>
      <c r="DS19" s="2">
        <v>51</v>
      </c>
      <c r="DU19" s="49">
        <v>10</v>
      </c>
      <c r="DV19" s="2">
        <v>0</v>
      </c>
      <c r="DW19" s="2">
        <v>0</v>
      </c>
      <c r="DX19" s="2">
        <v>16520800</v>
      </c>
      <c r="DY19" s="2">
        <v>0</v>
      </c>
      <c r="DZ19" s="2">
        <v>0</v>
      </c>
      <c r="EA19" s="2">
        <v>0</v>
      </c>
      <c r="EB19" s="2">
        <v>0</v>
      </c>
      <c r="EC19" s="2">
        <v>0</v>
      </c>
      <c r="ED19" s="2">
        <v>0</v>
      </c>
      <c r="EE19" s="2">
        <v>2311200</v>
      </c>
      <c r="EF19" s="2">
        <v>29360800</v>
      </c>
      <c r="EG19" s="2">
        <v>0</v>
      </c>
      <c r="EH19" s="2">
        <v>5136000</v>
      </c>
      <c r="EI19" s="2">
        <v>13182400</v>
      </c>
      <c r="EJ19" s="2">
        <v>0</v>
      </c>
      <c r="EK19" s="2">
        <v>0</v>
      </c>
      <c r="EL19" s="2">
        <v>0</v>
      </c>
      <c r="EM19" s="2">
        <v>0</v>
      </c>
      <c r="EN19" s="2">
        <v>0</v>
      </c>
      <c r="EO19" s="2">
        <v>4365600</v>
      </c>
      <c r="EQ19" s="49">
        <v>10</v>
      </c>
      <c r="ER19" s="2">
        <v>0</v>
      </c>
      <c r="ES19" s="2">
        <v>0</v>
      </c>
      <c r="ET19" s="2">
        <v>16536800</v>
      </c>
      <c r="EU19" s="2">
        <v>0</v>
      </c>
      <c r="EV19" s="2">
        <v>0</v>
      </c>
      <c r="EW19" s="2">
        <v>0</v>
      </c>
      <c r="EX19" s="2">
        <v>0</v>
      </c>
      <c r="EY19" s="2">
        <v>0</v>
      </c>
      <c r="EZ19" s="2">
        <v>0</v>
      </c>
      <c r="FA19" s="2">
        <v>2327200</v>
      </c>
      <c r="FB19" s="2">
        <v>29376800</v>
      </c>
      <c r="FC19" s="2">
        <v>0</v>
      </c>
      <c r="FD19" s="2">
        <v>5152000</v>
      </c>
      <c r="FE19" s="2">
        <v>13198400</v>
      </c>
      <c r="FF19" s="2">
        <v>0</v>
      </c>
      <c r="FG19" s="2">
        <v>0</v>
      </c>
      <c r="FH19" s="2">
        <v>0</v>
      </c>
      <c r="FI19" s="2">
        <v>0</v>
      </c>
      <c r="FJ19" s="2">
        <v>0</v>
      </c>
      <c r="FK19" s="2">
        <v>4381600</v>
      </c>
    </row>
    <row r="20" spans="1:167" x14ac:dyDescent="0.25">
      <c r="A20" s="9">
        <v>12</v>
      </c>
      <c r="B20" s="11">
        <v>1254</v>
      </c>
      <c r="D20" s="29">
        <f t="shared" si="1"/>
        <v>1.1204832195575254E-2</v>
      </c>
      <c r="G20" s="18">
        <v>12</v>
      </c>
      <c r="H20" s="15"/>
      <c r="I20" s="2">
        <v>11.917561292648315</v>
      </c>
      <c r="J20" s="2">
        <v>73.674184083938599</v>
      </c>
      <c r="K20" s="2">
        <v>62.808984518051147</v>
      </c>
      <c r="L20" s="2"/>
      <c r="M20" s="2"/>
      <c r="N20" s="2"/>
      <c r="O20" s="2"/>
      <c r="P20" s="2">
        <v>12.993389368057251</v>
      </c>
      <c r="Q20" s="2">
        <v>1.2033164501190186</v>
      </c>
      <c r="R20" s="2">
        <v>21.191293001174927</v>
      </c>
      <c r="S20" s="2">
        <v>0</v>
      </c>
      <c r="T20" s="2">
        <v>80.449813604354858</v>
      </c>
      <c r="U20" s="2">
        <v>75.699418783187866</v>
      </c>
      <c r="V20" s="2"/>
      <c r="W20" s="2">
        <v>68.705648183822632</v>
      </c>
      <c r="X20" s="2"/>
      <c r="Y20" s="2"/>
      <c r="Z20" s="2"/>
      <c r="AA20" s="2"/>
      <c r="AC20" s="39">
        <f t="shared" si="2"/>
        <v>408.64360928535461</v>
      </c>
      <c r="AD20" s="2">
        <f t="shared" si="3"/>
        <v>9</v>
      </c>
      <c r="AF20" s="2">
        <v>15</v>
      </c>
      <c r="AG20" s="2">
        <f t="shared" si="0"/>
        <v>277.60000000000002</v>
      </c>
      <c r="AJ20" s="49">
        <v>11</v>
      </c>
      <c r="AK20" s="2">
        <f t="shared" si="5"/>
        <v>50.605023410414958</v>
      </c>
      <c r="AL20" s="2">
        <f t="shared" si="6"/>
        <v>58.365663533364319</v>
      </c>
      <c r="AM20" s="2">
        <f t="shared" si="7"/>
        <v>26.467784767146789</v>
      </c>
      <c r="AN20" s="2">
        <f t="shared" si="8"/>
        <v>73.008084634904762</v>
      </c>
      <c r="AO20" s="2">
        <f t="shared" si="9"/>
        <v>23.48594124164552</v>
      </c>
      <c r="AP20" s="2">
        <f t="shared" si="10"/>
        <v>73.879096822616958</v>
      </c>
      <c r="AQ20" s="2">
        <f t="shared" si="11"/>
        <v>53.885051288466357</v>
      </c>
      <c r="AR20" s="2">
        <f t="shared" si="12"/>
        <v>69.045371528646484</v>
      </c>
      <c r="AS20" s="2">
        <f t="shared" si="13"/>
        <v>29.998915257871978</v>
      </c>
      <c r="AT20" s="2">
        <f t="shared" si="14"/>
        <v>17.46732549412059</v>
      </c>
      <c r="AU20" s="2">
        <f t="shared" si="15"/>
        <v>68.911973265663534</v>
      </c>
      <c r="AV20" s="2">
        <f t="shared" si="16"/>
        <v>9.8400836341541886</v>
      </c>
      <c r="AW20" s="2">
        <f t="shared" si="17"/>
        <v>55.77616784016584</v>
      </c>
      <c r="AX20" s="2">
        <f t="shared" si="18"/>
        <v>60.217545301833525</v>
      </c>
      <c r="AY20" s="2">
        <f t="shared" si="19"/>
        <v>21.783151649451376</v>
      </c>
      <c r="AZ20" s="2">
        <f t="shared" si="20"/>
        <v>66.761907144644198</v>
      </c>
      <c r="BA20" s="2">
        <f t="shared" si="21"/>
        <v>14.815054147753674</v>
      </c>
      <c r="BB20" s="2">
        <f t="shared" si="22"/>
        <v>23.203450802387504</v>
      </c>
      <c r="BC20" s="2">
        <f t="shared" si="23"/>
        <v>65.270985381893567</v>
      </c>
      <c r="BD20" s="2">
        <f t="shared" si="24"/>
        <v>15.411422852853928</v>
      </c>
      <c r="BG20" s="49">
        <v>11</v>
      </c>
      <c r="BH20" s="2">
        <v>2</v>
      </c>
      <c r="BI20" s="2">
        <v>2</v>
      </c>
      <c r="BJ20" s="2">
        <v>10</v>
      </c>
      <c r="BK20" s="2">
        <v>2</v>
      </c>
      <c r="BL20" s="2">
        <v>2</v>
      </c>
      <c r="BM20" s="2">
        <v>2</v>
      </c>
      <c r="BN20" s="2">
        <v>2</v>
      </c>
      <c r="BO20" s="2">
        <v>8</v>
      </c>
      <c r="BP20" s="2">
        <v>2</v>
      </c>
      <c r="BQ20" s="2">
        <v>10</v>
      </c>
      <c r="BR20" s="2">
        <v>11</v>
      </c>
      <c r="BS20" s="2">
        <v>2</v>
      </c>
      <c r="BT20" s="2">
        <v>2</v>
      </c>
      <c r="BU20" s="2">
        <v>14</v>
      </c>
      <c r="BV20" s="2">
        <v>2</v>
      </c>
      <c r="BW20" s="2">
        <v>2</v>
      </c>
      <c r="BX20" s="2">
        <v>2</v>
      </c>
      <c r="BY20" s="2">
        <v>2</v>
      </c>
      <c r="BZ20" s="2">
        <v>2</v>
      </c>
      <c r="CA20" s="2">
        <v>2</v>
      </c>
      <c r="CC20" s="49">
        <v>11</v>
      </c>
      <c r="CD20" s="2">
        <v>0</v>
      </c>
      <c r="CE20" s="2">
        <v>1143.096340140497</v>
      </c>
      <c r="CF20" s="2">
        <v>0</v>
      </c>
      <c r="CG20" s="2">
        <v>0</v>
      </c>
      <c r="CH20" s="2">
        <v>0</v>
      </c>
      <c r="CI20" s="2">
        <v>0</v>
      </c>
      <c r="CJ20" s="2">
        <v>0</v>
      </c>
      <c r="CK20" s="2">
        <v>757.6140580732814</v>
      </c>
      <c r="CL20" s="2">
        <v>0</v>
      </c>
      <c r="CM20" s="2">
        <v>328.05205320751139</v>
      </c>
      <c r="CN20" s="2">
        <v>14.9848697721935</v>
      </c>
      <c r="CO20" s="2">
        <v>0</v>
      </c>
      <c r="CP20" s="2">
        <v>0</v>
      </c>
      <c r="CQ20" s="2">
        <v>36.635861357149643</v>
      </c>
      <c r="CR20" s="2">
        <v>0</v>
      </c>
      <c r="CS20" s="2">
        <v>0</v>
      </c>
      <c r="CT20" s="2">
        <v>0</v>
      </c>
      <c r="CU20" s="2">
        <v>0</v>
      </c>
      <c r="CV20" s="2">
        <v>0</v>
      </c>
      <c r="CW20" s="2">
        <v>0</v>
      </c>
      <c r="CY20" s="49">
        <v>11</v>
      </c>
      <c r="CZ20" s="2">
        <v>0</v>
      </c>
      <c r="DA20" s="2">
        <v>1150</v>
      </c>
      <c r="DB20" s="2">
        <v>0</v>
      </c>
      <c r="DC20" s="2">
        <v>0</v>
      </c>
      <c r="DD20" s="2">
        <v>0</v>
      </c>
      <c r="DE20" s="2">
        <v>0</v>
      </c>
      <c r="DF20" s="2">
        <v>0</v>
      </c>
      <c r="DG20" s="2">
        <v>769</v>
      </c>
      <c r="DH20" s="2">
        <v>0</v>
      </c>
      <c r="DI20" s="2">
        <v>343</v>
      </c>
      <c r="DJ20" s="2">
        <v>23</v>
      </c>
      <c r="DK20" s="2">
        <v>0</v>
      </c>
      <c r="DL20" s="2">
        <v>0</v>
      </c>
      <c r="DM20" s="2">
        <v>47</v>
      </c>
      <c r="DN20" s="2">
        <v>0</v>
      </c>
      <c r="DO20" s="2">
        <v>0</v>
      </c>
      <c r="DP20" s="2">
        <v>0</v>
      </c>
      <c r="DQ20" s="2">
        <v>0</v>
      </c>
      <c r="DR20" s="2">
        <v>0</v>
      </c>
      <c r="DS20" s="2">
        <v>0</v>
      </c>
      <c r="DU20" s="49">
        <v>11</v>
      </c>
      <c r="DV20" s="2">
        <v>0</v>
      </c>
      <c r="DW20" s="2">
        <v>98440000</v>
      </c>
      <c r="DX20" s="2">
        <v>0</v>
      </c>
      <c r="DY20" s="2">
        <v>0</v>
      </c>
      <c r="DZ20" s="2">
        <v>0</v>
      </c>
      <c r="EA20" s="2">
        <v>0</v>
      </c>
      <c r="EB20" s="2">
        <v>0</v>
      </c>
      <c r="EC20" s="2">
        <v>65826400</v>
      </c>
      <c r="ED20" s="2">
        <v>0</v>
      </c>
      <c r="EE20" s="2">
        <v>29360800</v>
      </c>
      <c r="EF20" s="2">
        <v>1968800</v>
      </c>
      <c r="EG20" s="2">
        <v>0</v>
      </c>
      <c r="EH20" s="2">
        <v>0</v>
      </c>
      <c r="EI20" s="2">
        <v>4023200</v>
      </c>
      <c r="EJ20" s="2">
        <v>0</v>
      </c>
      <c r="EK20" s="2">
        <v>0</v>
      </c>
      <c r="EL20" s="2">
        <v>0</v>
      </c>
      <c r="EM20" s="2">
        <v>0</v>
      </c>
      <c r="EN20" s="2">
        <v>0</v>
      </c>
      <c r="EO20" s="2">
        <v>0</v>
      </c>
      <c r="EQ20" s="49">
        <v>11</v>
      </c>
      <c r="ER20" s="2">
        <v>0</v>
      </c>
      <c r="ES20" s="2">
        <v>98456000</v>
      </c>
      <c r="ET20" s="2">
        <v>0</v>
      </c>
      <c r="EU20" s="2">
        <v>0</v>
      </c>
      <c r="EV20" s="2">
        <v>0</v>
      </c>
      <c r="EW20" s="2">
        <v>0</v>
      </c>
      <c r="EX20" s="2">
        <v>0</v>
      </c>
      <c r="EY20" s="2">
        <v>65842400</v>
      </c>
      <c r="EZ20" s="2">
        <v>0</v>
      </c>
      <c r="FA20" s="2">
        <v>29376800</v>
      </c>
      <c r="FB20" s="2">
        <v>1984800</v>
      </c>
      <c r="FC20" s="2">
        <v>0</v>
      </c>
      <c r="FD20" s="2">
        <v>0</v>
      </c>
      <c r="FE20" s="2">
        <v>4039200</v>
      </c>
      <c r="FF20" s="2">
        <v>0</v>
      </c>
      <c r="FG20" s="2">
        <v>0</v>
      </c>
      <c r="FH20" s="2">
        <v>0</v>
      </c>
      <c r="FI20" s="2">
        <v>0</v>
      </c>
      <c r="FJ20" s="2">
        <v>0</v>
      </c>
      <c r="FK20" s="2">
        <v>0</v>
      </c>
    </row>
    <row r="21" spans="1:167" x14ac:dyDescent="0.25">
      <c r="A21" s="9">
        <v>13</v>
      </c>
      <c r="B21" s="11">
        <v>7108</v>
      </c>
      <c r="D21" s="29">
        <f t="shared" si="1"/>
        <v>6.3511919654026236E-2</v>
      </c>
      <c r="G21" s="18">
        <v>13</v>
      </c>
      <c r="H21" s="15">
        <v>56.916147470474243</v>
      </c>
      <c r="I21" s="2">
        <v>96.019858121871948</v>
      </c>
      <c r="J21" s="2"/>
      <c r="K21" s="2"/>
      <c r="L21" s="2"/>
      <c r="M21" s="2">
        <v>8.7970435619354248</v>
      </c>
      <c r="N21" s="2">
        <v>64.925462007522583</v>
      </c>
      <c r="O21" s="2"/>
      <c r="P21" s="2"/>
      <c r="Q21" s="2"/>
      <c r="R21" s="2">
        <v>96.999293565750122</v>
      </c>
      <c r="S21" s="2">
        <v>80.449813604354858</v>
      </c>
      <c r="T21" s="2">
        <v>0</v>
      </c>
      <c r="U21" s="2"/>
      <c r="V21" s="2"/>
      <c r="W21" s="2">
        <v>60.792356729507446</v>
      </c>
      <c r="X21" s="2">
        <v>17.750412225723267</v>
      </c>
      <c r="Y21" s="2">
        <v>6.8388998508453369</v>
      </c>
      <c r="Z21" s="2"/>
      <c r="AA21" s="2"/>
      <c r="AC21" s="39">
        <f t="shared" si="2"/>
        <v>489.48928713798523</v>
      </c>
      <c r="AD21" s="2">
        <f t="shared" si="3"/>
        <v>9</v>
      </c>
      <c r="AF21" s="2">
        <v>16</v>
      </c>
      <c r="AG21" s="2">
        <f t="shared" si="0"/>
        <v>850.80000000000007</v>
      </c>
      <c r="AJ21" s="49">
        <v>12</v>
      </c>
      <c r="AK21" s="2">
        <f t="shared" si="5"/>
        <v>7.2259962829264817</v>
      </c>
      <c r="AL21" s="2">
        <f t="shared" si="6"/>
        <v>8.334154187068874</v>
      </c>
      <c r="AM21" s="2">
        <f t="shared" si="7"/>
        <v>3.779389899567533</v>
      </c>
      <c r="AN21" s="2">
        <f t="shared" si="8"/>
        <v>10.424975874763216</v>
      </c>
      <c r="AO21" s="2">
        <f t="shared" si="9"/>
        <v>3.3536062761356731</v>
      </c>
      <c r="AP21" s="2">
        <f t="shared" si="10"/>
        <v>10.549349512134102</v>
      </c>
      <c r="AQ21" s="2">
        <f t="shared" si="11"/>
        <v>7.6943582687015271</v>
      </c>
      <c r="AR21" s="2">
        <f t="shared" si="12"/>
        <v>9.8591318488866655</v>
      </c>
      <c r="AS21" s="2">
        <f t="shared" si="13"/>
        <v>4.2836073483684194</v>
      </c>
      <c r="AT21" s="2">
        <f t="shared" si="14"/>
        <v>2.4941956467350517</v>
      </c>
      <c r="AU21" s="2">
        <f t="shared" si="15"/>
        <v>9.8400836341541869</v>
      </c>
      <c r="AV21" s="2">
        <f t="shared" si="16"/>
        <v>1.4050859573251369</v>
      </c>
      <c r="AW21" s="2">
        <f t="shared" si="17"/>
        <v>7.9643947246148903</v>
      </c>
      <c r="AX21" s="2">
        <f t="shared" si="18"/>
        <v>8.5985882268844502</v>
      </c>
      <c r="AY21" s="2">
        <f t="shared" si="19"/>
        <v>3.1104614174916905</v>
      </c>
      <c r="AZ21" s="2">
        <f t="shared" si="20"/>
        <v>9.5330712319954252</v>
      </c>
      <c r="BA21" s="2">
        <f t="shared" si="21"/>
        <v>2.115472318524608</v>
      </c>
      <c r="BB21" s="2">
        <f t="shared" si="22"/>
        <v>3.3132688802316022</v>
      </c>
      <c r="BC21" s="2">
        <f t="shared" si="23"/>
        <v>9.3201794202794961</v>
      </c>
      <c r="BD21" s="2">
        <f t="shared" si="24"/>
        <v>2.2006290432109799</v>
      </c>
      <c r="BG21" s="49">
        <v>12</v>
      </c>
      <c r="BH21" s="2">
        <v>6</v>
      </c>
      <c r="BI21" s="2">
        <v>6</v>
      </c>
      <c r="BJ21" s="2">
        <v>15</v>
      </c>
      <c r="BK21" s="2">
        <v>14</v>
      </c>
      <c r="BL21" s="2">
        <v>6</v>
      </c>
      <c r="BM21" s="2">
        <v>6</v>
      </c>
      <c r="BN21" s="2">
        <v>6</v>
      </c>
      <c r="BO21" s="2">
        <v>6</v>
      </c>
      <c r="BP21" s="2">
        <v>9</v>
      </c>
      <c r="BQ21" s="2">
        <v>6</v>
      </c>
      <c r="BR21" s="2">
        <v>6</v>
      </c>
      <c r="BS21" s="2">
        <v>12</v>
      </c>
      <c r="BT21" s="2">
        <v>6</v>
      </c>
      <c r="BU21" s="2">
        <v>14</v>
      </c>
      <c r="BV21" s="2">
        <v>15</v>
      </c>
      <c r="BW21" s="2">
        <v>15</v>
      </c>
      <c r="BX21" s="2">
        <v>6</v>
      </c>
      <c r="BY21" s="2">
        <v>6</v>
      </c>
      <c r="BZ21" s="2">
        <v>15</v>
      </c>
      <c r="CA21" s="2">
        <v>20</v>
      </c>
      <c r="CC21" s="49">
        <v>12</v>
      </c>
      <c r="CD21" s="2">
        <v>0</v>
      </c>
      <c r="CE21" s="2">
        <v>0</v>
      </c>
      <c r="CF21" s="2">
        <v>0</v>
      </c>
      <c r="CG21" s="2">
        <v>0</v>
      </c>
      <c r="CH21" s="2">
        <v>0</v>
      </c>
      <c r="CI21" s="2">
        <v>1136.4917745315911</v>
      </c>
      <c r="CJ21" s="2">
        <v>0</v>
      </c>
      <c r="CK21" s="2">
        <v>0</v>
      </c>
      <c r="CL21" s="2">
        <v>170.61939567557329</v>
      </c>
      <c r="CM21" s="2">
        <v>0</v>
      </c>
      <c r="CN21" s="2">
        <v>0</v>
      </c>
      <c r="CO21" s="2">
        <v>19.76453043212673</v>
      </c>
      <c r="CP21" s="2">
        <v>0</v>
      </c>
      <c r="CQ21" s="2">
        <v>516.33979926065581</v>
      </c>
      <c r="CR21" s="2">
        <v>484.195653456066</v>
      </c>
      <c r="CS21" s="2">
        <v>0</v>
      </c>
      <c r="CT21" s="2">
        <v>0</v>
      </c>
      <c r="CU21" s="2">
        <v>0</v>
      </c>
      <c r="CV21" s="2">
        <v>0</v>
      </c>
      <c r="CW21" s="2">
        <v>441.06054197516568</v>
      </c>
      <c r="CY21" s="49">
        <v>12</v>
      </c>
      <c r="CZ21" s="2">
        <v>0</v>
      </c>
      <c r="DA21" s="2">
        <v>0</v>
      </c>
      <c r="DB21" s="2">
        <v>0</v>
      </c>
      <c r="DC21" s="2">
        <v>0</v>
      </c>
      <c r="DD21" s="2">
        <v>0</v>
      </c>
      <c r="DE21" s="2">
        <v>1143</v>
      </c>
      <c r="DF21" s="2">
        <v>0</v>
      </c>
      <c r="DG21" s="2">
        <v>0</v>
      </c>
      <c r="DH21" s="2">
        <v>185</v>
      </c>
      <c r="DI21" s="2">
        <v>0</v>
      </c>
      <c r="DJ21" s="2">
        <v>0</v>
      </c>
      <c r="DK21" s="2">
        <v>28</v>
      </c>
      <c r="DL21" s="2">
        <v>0</v>
      </c>
      <c r="DM21" s="2">
        <v>530</v>
      </c>
      <c r="DN21" s="2">
        <v>498</v>
      </c>
      <c r="DO21" s="2">
        <v>0</v>
      </c>
      <c r="DP21" s="2">
        <v>0</v>
      </c>
      <c r="DQ21" s="2">
        <v>0</v>
      </c>
      <c r="DR21" s="2">
        <v>0</v>
      </c>
      <c r="DS21" s="2">
        <v>455</v>
      </c>
      <c r="DU21" s="49">
        <v>12</v>
      </c>
      <c r="DV21" s="2">
        <v>0</v>
      </c>
      <c r="DW21" s="2">
        <v>0</v>
      </c>
      <c r="DX21" s="2">
        <v>0</v>
      </c>
      <c r="DY21" s="2">
        <v>0</v>
      </c>
      <c r="DZ21" s="2">
        <v>0</v>
      </c>
      <c r="EA21" s="2">
        <v>97840800</v>
      </c>
      <c r="EB21" s="2">
        <v>0</v>
      </c>
      <c r="EC21" s="2">
        <v>0</v>
      </c>
      <c r="ED21" s="2">
        <v>15836000</v>
      </c>
      <c r="EE21" s="2">
        <v>0</v>
      </c>
      <c r="EF21" s="2">
        <v>0</v>
      </c>
      <c r="EG21" s="2">
        <v>2396800</v>
      </c>
      <c r="EH21" s="2">
        <v>0</v>
      </c>
      <c r="EI21" s="2">
        <v>45368000</v>
      </c>
      <c r="EJ21" s="2">
        <v>42628800</v>
      </c>
      <c r="EK21" s="2">
        <v>0</v>
      </c>
      <c r="EL21" s="2">
        <v>0</v>
      </c>
      <c r="EM21" s="2">
        <v>0</v>
      </c>
      <c r="EN21" s="2">
        <v>0</v>
      </c>
      <c r="EO21" s="2">
        <v>38948000</v>
      </c>
      <c r="EQ21" s="49">
        <v>12</v>
      </c>
      <c r="ER21" s="2">
        <v>0</v>
      </c>
      <c r="ES21" s="2">
        <v>0</v>
      </c>
      <c r="ET21" s="2">
        <v>0</v>
      </c>
      <c r="EU21" s="2">
        <v>0</v>
      </c>
      <c r="EV21" s="2">
        <v>0</v>
      </c>
      <c r="EW21" s="2">
        <v>97856800</v>
      </c>
      <c r="EX21" s="2">
        <v>0</v>
      </c>
      <c r="EY21" s="2">
        <v>0</v>
      </c>
      <c r="EZ21" s="2">
        <v>15852000</v>
      </c>
      <c r="FA21" s="2">
        <v>0</v>
      </c>
      <c r="FB21" s="2">
        <v>0</v>
      </c>
      <c r="FC21" s="2">
        <v>2412800</v>
      </c>
      <c r="FD21" s="2">
        <v>0</v>
      </c>
      <c r="FE21" s="2">
        <v>45384000</v>
      </c>
      <c r="FF21" s="2">
        <v>42644800</v>
      </c>
      <c r="FG21" s="2">
        <v>0</v>
      </c>
      <c r="FH21" s="2">
        <v>0</v>
      </c>
      <c r="FI21" s="2">
        <v>0</v>
      </c>
      <c r="FJ21" s="2">
        <v>0</v>
      </c>
      <c r="FK21" s="2">
        <v>38964000</v>
      </c>
    </row>
    <row r="22" spans="1:167" x14ac:dyDescent="0.25">
      <c r="A22" s="9">
        <v>14</v>
      </c>
      <c r="B22" s="11">
        <v>7674</v>
      </c>
      <c r="D22" s="29">
        <f t="shared" si="1"/>
        <v>6.8569284105936601E-2</v>
      </c>
      <c r="G22" s="18">
        <v>14</v>
      </c>
      <c r="H22" s="15"/>
      <c r="I22" s="2">
        <v>47.274559736251831</v>
      </c>
      <c r="J22" s="2"/>
      <c r="K22" s="2">
        <v>31.803983449935913</v>
      </c>
      <c r="L22" s="2">
        <v>58.755499124526978</v>
      </c>
      <c r="M22" s="2"/>
      <c r="N22" s="2">
        <v>95.304995775222778</v>
      </c>
      <c r="O22" s="2"/>
      <c r="P22" s="2">
        <v>44.193130731582642</v>
      </c>
      <c r="Q22" s="2"/>
      <c r="R22" s="2">
        <v>62.823468446731567</v>
      </c>
      <c r="S22" s="2">
        <v>75.699418783187866</v>
      </c>
      <c r="T22" s="2"/>
      <c r="U22" s="2">
        <v>0</v>
      </c>
      <c r="V22" s="2"/>
      <c r="W22" s="2"/>
      <c r="X22" s="2">
        <v>94.993084669113159</v>
      </c>
      <c r="Y22" s="2">
        <v>88.684004545211792</v>
      </c>
      <c r="Z22" s="2"/>
      <c r="AA22" s="2"/>
      <c r="AC22" s="39">
        <f t="shared" si="2"/>
        <v>599.53214526176453</v>
      </c>
      <c r="AD22" s="2">
        <f t="shared" si="3"/>
        <v>9</v>
      </c>
      <c r="AF22" s="2">
        <v>17</v>
      </c>
      <c r="AG22" s="2">
        <f t="shared" si="0"/>
        <v>188.8</v>
      </c>
      <c r="AJ22" s="49">
        <v>13</v>
      </c>
      <c r="AK22" s="2">
        <f t="shared" si="5"/>
        <v>40.958836984881522</v>
      </c>
      <c r="AL22" s="2">
        <f t="shared" si="6"/>
        <v>47.240165838664723</v>
      </c>
      <c r="AM22" s="2">
        <f t="shared" si="7"/>
        <v>21.422570499303053</v>
      </c>
      <c r="AN22" s="2">
        <f t="shared" si="8"/>
        <v>59.091490046106024</v>
      </c>
      <c r="AO22" s="2">
        <f t="shared" si="9"/>
        <v>19.009117552450054</v>
      </c>
      <c r="AP22" s="2">
        <f t="shared" si="10"/>
        <v>59.796472354265703</v>
      </c>
      <c r="AQ22" s="2">
        <f t="shared" si="11"/>
        <v>43.613635226419824</v>
      </c>
      <c r="AR22" s="2">
        <f t="shared" si="12"/>
        <v>55.884138103577691</v>
      </c>
      <c r="AS22" s="2">
        <f t="shared" si="13"/>
        <v>24.280606883734233</v>
      </c>
      <c r="AT22" s="2">
        <f t="shared" si="14"/>
        <v>14.137753314986242</v>
      </c>
      <c r="AU22" s="2">
        <f t="shared" si="15"/>
        <v>55.776167840165847</v>
      </c>
      <c r="AV22" s="2">
        <f t="shared" si="16"/>
        <v>7.9643947246148912</v>
      </c>
      <c r="AW22" s="2">
        <f t="shared" si="17"/>
        <v>45.144272490081853</v>
      </c>
      <c r="AX22" s="2">
        <f t="shared" si="18"/>
        <v>48.739047142499743</v>
      </c>
      <c r="AY22" s="2">
        <f t="shared" si="19"/>
        <v>17.630908895957685</v>
      </c>
      <c r="AZ22" s="2">
        <f t="shared" si="20"/>
        <v>54.035941241645524</v>
      </c>
      <c r="BA22" s="2">
        <f t="shared" si="21"/>
        <v>11.991050430680154</v>
      </c>
      <c r="BB22" s="2">
        <f t="shared" si="22"/>
        <v>18.780474641695559</v>
      </c>
      <c r="BC22" s="2">
        <f t="shared" si="23"/>
        <v>52.829214768219032</v>
      </c>
      <c r="BD22" s="2">
        <f t="shared" si="24"/>
        <v>12.473741020050754</v>
      </c>
      <c r="BG22" s="49">
        <v>13</v>
      </c>
      <c r="BH22" s="2">
        <v>18</v>
      </c>
      <c r="BI22" s="2">
        <v>18</v>
      </c>
      <c r="BJ22" s="2">
        <v>10</v>
      </c>
      <c r="BK22" s="2">
        <v>18</v>
      </c>
      <c r="BL22" s="2">
        <v>18</v>
      </c>
      <c r="BM22" s="2">
        <v>18</v>
      </c>
      <c r="BN22" s="2">
        <v>18</v>
      </c>
      <c r="BO22" s="2">
        <v>18</v>
      </c>
      <c r="BP22" s="2">
        <v>18</v>
      </c>
      <c r="BQ22" s="2">
        <v>10</v>
      </c>
      <c r="BR22" s="2">
        <v>18</v>
      </c>
      <c r="BS22" s="2">
        <v>18</v>
      </c>
      <c r="BT22" s="2">
        <v>13</v>
      </c>
      <c r="BU22" s="2">
        <v>18</v>
      </c>
      <c r="BV22" s="2">
        <v>18</v>
      </c>
      <c r="BW22" s="2">
        <v>18</v>
      </c>
      <c r="BX22" s="2">
        <v>18</v>
      </c>
      <c r="BY22" s="2">
        <v>18</v>
      </c>
      <c r="BZ22" s="2">
        <v>18</v>
      </c>
      <c r="CA22" s="2">
        <v>18</v>
      </c>
      <c r="CC22" s="49">
        <v>13</v>
      </c>
      <c r="CD22" s="2">
        <v>0</v>
      </c>
      <c r="CE22" s="2">
        <v>0</v>
      </c>
      <c r="CF22" s="2">
        <v>0</v>
      </c>
      <c r="CG22" s="2">
        <v>0</v>
      </c>
      <c r="CH22" s="2">
        <v>0</v>
      </c>
      <c r="CI22" s="2">
        <v>0</v>
      </c>
      <c r="CJ22" s="2">
        <v>0</v>
      </c>
      <c r="CK22" s="2">
        <v>0</v>
      </c>
      <c r="CL22" s="2">
        <v>0</v>
      </c>
      <c r="CM22" s="2">
        <v>49.283668074439973</v>
      </c>
      <c r="CN22" s="2">
        <v>0</v>
      </c>
      <c r="CO22" s="2">
        <v>0</v>
      </c>
      <c r="CP22" s="2">
        <v>47.74488304247545</v>
      </c>
      <c r="CQ22" s="2">
        <v>0</v>
      </c>
      <c r="CR22" s="2">
        <v>0</v>
      </c>
      <c r="CS22" s="2">
        <v>0</v>
      </c>
      <c r="CT22" s="2">
        <v>0</v>
      </c>
      <c r="CU22" s="2">
        <v>576.27144888308464</v>
      </c>
      <c r="CV22" s="2">
        <v>0</v>
      </c>
      <c r="CW22" s="2">
        <v>0</v>
      </c>
      <c r="CY22" s="49">
        <v>13</v>
      </c>
      <c r="CZ22" s="2">
        <v>0</v>
      </c>
      <c r="DA22" s="2">
        <v>0</v>
      </c>
      <c r="DB22" s="2">
        <v>0</v>
      </c>
      <c r="DC22" s="2">
        <v>0</v>
      </c>
      <c r="DD22" s="2">
        <v>0</v>
      </c>
      <c r="DE22" s="2">
        <v>0</v>
      </c>
      <c r="DF22" s="2">
        <v>0</v>
      </c>
      <c r="DG22" s="2">
        <v>0</v>
      </c>
      <c r="DH22" s="2">
        <v>0</v>
      </c>
      <c r="DI22" s="2">
        <v>60</v>
      </c>
      <c r="DJ22" s="2">
        <v>0</v>
      </c>
      <c r="DK22" s="2">
        <v>0</v>
      </c>
      <c r="DL22" s="2">
        <v>58</v>
      </c>
      <c r="DM22" s="2">
        <v>0</v>
      </c>
      <c r="DN22" s="2">
        <v>0</v>
      </c>
      <c r="DO22" s="2">
        <v>0</v>
      </c>
      <c r="DP22" s="2">
        <v>0</v>
      </c>
      <c r="DQ22" s="2">
        <v>590</v>
      </c>
      <c r="DR22" s="2">
        <v>0</v>
      </c>
      <c r="DS22" s="2">
        <v>0</v>
      </c>
      <c r="DU22" s="49">
        <v>13</v>
      </c>
      <c r="DV22" s="2">
        <v>0</v>
      </c>
      <c r="DW22" s="2">
        <v>0</v>
      </c>
      <c r="DX22" s="2">
        <v>0</v>
      </c>
      <c r="DY22" s="2">
        <v>0</v>
      </c>
      <c r="DZ22" s="2">
        <v>0</v>
      </c>
      <c r="EA22" s="2">
        <v>0</v>
      </c>
      <c r="EB22" s="2">
        <v>0</v>
      </c>
      <c r="EC22" s="2">
        <v>0</v>
      </c>
      <c r="ED22" s="2">
        <v>0</v>
      </c>
      <c r="EE22" s="2">
        <v>5136000</v>
      </c>
      <c r="EF22" s="2">
        <v>0</v>
      </c>
      <c r="EG22" s="2">
        <v>0</v>
      </c>
      <c r="EH22" s="2">
        <v>4964800</v>
      </c>
      <c r="EI22" s="2">
        <v>0</v>
      </c>
      <c r="EJ22" s="2">
        <v>0</v>
      </c>
      <c r="EK22" s="2">
        <v>0</v>
      </c>
      <c r="EL22" s="2">
        <v>0</v>
      </c>
      <c r="EM22" s="2">
        <v>50504000</v>
      </c>
      <c r="EN22" s="2">
        <v>0</v>
      </c>
      <c r="EO22" s="2">
        <v>0</v>
      </c>
      <c r="EQ22" s="49">
        <v>13</v>
      </c>
      <c r="ER22" s="2">
        <v>0</v>
      </c>
      <c r="ES22" s="2">
        <v>0</v>
      </c>
      <c r="ET22" s="2">
        <v>0</v>
      </c>
      <c r="EU22" s="2">
        <v>0</v>
      </c>
      <c r="EV22" s="2">
        <v>0</v>
      </c>
      <c r="EW22" s="2">
        <v>0</v>
      </c>
      <c r="EX22" s="2">
        <v>0</v>
      </c>
      <c r="EY22" s="2">
        <v>0</v>
      </c>
      <c r="EZ22" s="2">
        <v>0</v>
      </c>
      <c r="FA22" s="2">
        <v>5152000</v>
      </c>
      <c r="FB22" s="2">
        <v>0</v>
      </c>
      <c r="FC22" s="2">
        <v>0</v>
      </c>
      <c r="FD22" s="2">
        <v>4980800</v>
      </c>
      <c r="FE22" s="2">
        <v>0</v>
      </c>
      <c r="FF22" s="2">
        <v>0</v>
      </c>
      <c r="FG22" s="2">
        <v>0</v>
      </c>
      <c r="FH22" s="2">
        <v>0</v>
      </c>
      <c r="FI22" s="2">
        <v>50520000</v>
      </c>
      <c r="FJ22" s="2">
        <v>0</v>
      </c>
      <c r="FK22" s="2">
        <v>0</v>
      </c>
    </row>
    <row r="23" spans="1:167" x14ac:dyDescent="0.25">
      <c r="A23" s="9">
        <v>15</v>
      </c>
      <c r="B23" s="11">
        <v>2776</v>
      </c>
      <c r="D23" s="29">
        <f t="shared" si="1"/>
        <v>2.4804317523857179E-2</v>
      </c>
      <c r="G23" s="18">
        <v>15</v>
      </c>
      <c r="H23" s="15"/>
      <c r="I23" s="2">
        <v>42.683619260787964</v>
      </c>
      <c r="J23" s="2"/>
      <c r="K23" s="2">
        <v>34.351867437362671</v>
      </c>
      <c r="L23" s="2">
        <v>16.549736261367798</v>
      </c>
      <c r="M23" s="2">
        <v>17.39012598991394</v>
      </c>
      <c r="N23" s="2">
        <v>24.489766359329224</v>
      </c>
      <c r="O23" s="2">
        <v>34.211724996566772</v>
      </c>
      <c r="P23" s="2">
        <v>84.136110544204712</v>
      </c>
      <c r="Q23" s="2">
        <v>45.296400785446167</v>
      </c>
      <c r="R23" s="2">
        <v>52.306395769119263</v>
      </c>
      <c r="S23" s="2"/>
      <c r="T23" s="2"/>
      <c r="U23" s="2"/>
      <c r="V23" s="2">
        <v>0</v>
      </c>
      <c r="W23" s="2"/>
      <c r="X23" s="2"/>
      <c r="Y23" s="2"/>
      <c r="Z23" s="2">
        <v>33.646470308303833</v>
      </c>
      <c r="AA23" s="2"/>
      <c r="AC23" s="39">
        <f t="shared" si="2"/>
        <v>385.06221771240234</v>
      </c>
      <c r="AD23" s="2">
        <f t="shared" si="3"/>
        <v>10</v>
      </c>
      <c r="AF23" s="2">
        <v>18</v>
      </c>
      <c r="AG23" s="2">
        <f t="shared" si="0"/>
        <v>295.7</v>
      </c>
      <c r="AJ23" s="49">
        <v>14</v>
      </c>
      <c r="AK23" s="2">
        <f t="shared" si="5"/>
        <v>44.220331319918522</v>
      </c>
      <c r="AL23" s="2">
        <f t="shared" si="6"/>
        <v>51.001833517995657</v>
      </c>
      <c r="AM23" s="2">
        <f t="shared" si="7"/>
        <v>23.128419528932415</v>
      </c>
      <c r="AN23" s="2">
        <f t="shared" si="8"/>
        <v>63.796861932163424</v>
      </c>
      <c r="AO23" s="2">
        <f t="shared" si="9"/>
        <v>20.522786732906823</v>
      </c>
      <c r="AP23" s="2">
        <f t="shared" si="10"/>
        <v>64.557980985739306</v>
      </c>
      <c r="AQ23" s="2">
        <f t="shared" si="11"/>
        <v>47.086527395546668</v>
      </c>
      <c r="AR23" s="2">
        <f t="shared" si="12"/>
        <v>60.334113084813616</v>
      </c>
      <c r="AS23" s="2">
        <f t="shared" si="13"/>
        <v>26.214037313699563</v>
      </c>
      <c r="AT23" s="2">
        <f t="shared" si="14"/>
        <v>15.263522641981488</v>
      </c>
      <c r="AU23" s="2">
        <f t="shared" si="15"/>
        <v>60.217545301833525</v>
      </c>
      <c r="AV23" s="2">
        <f t="shared" si="16"/>
        <v>8.5985882268844502</v>
      </c>
      <c r="AW23" s="2">
        <f t="shared" si="17"/>
        <v>48.739047142499736</v>
      </c>
      <c r="AX23" s="2">
        <f t="shared" si="18"/>
        <v>52.620068622895751</v>
      </c>
      <c r="AY23" s="2">
        <f t="shared" si="19"/>
        <v>19.034833267808001</v>
      </c>
      <c r="AZ23" s="2">
        <f t="shared" si="20"/>
        <v>58.338746917330859</v>
      </c>
      <c r="BA23" s="2">
        <f t="shared" si="21"/>
        <v>12.945880839200832</v>
      </c>
      <c r="BB23" s="2">
        <f t="shared" si="22"/>
        <v>20.275937310125453</v>
      </c>
      <c r="BC23" s="2">
        <f t="shared" si="23"/>
        <v>57.035930519318072</v>
      </c>
      <c r="BD23" s="2">
        <f t="shared" si="24"/>
        <v>13.467007398405949</v>
      </c>
      <c r="BG23" s="49">
        <v>14</v>
      </c>
      <c r="BH23" s="2">
        <v>12</v>
      </c>
      <c r="BI23" s="2">
        <v>12</v>
      </c>
      <c r="BJ23" s="2">
        <v>10</v>
      </c>
      <c r="BK23" s="2">
        <v>4</v>
      </c>
      <c r="BL23" s="2">
        <v>12</v>
      </c>
      <c r="BM23" s="2">
        <v>12</v>
      </c>
      <c r="BN23" s="2">
        <v>4</v>
      </c>
      <c r="BO23" s="2">
        <v>8</v>
      </c>
      <c r="BP23" s="2">
        <v>4</v>
      </c>
      <c r="BQ23" s="2">
        <v>10</v>
      </c>
      <c r="BR23" s="2">
        <v>11</v>
      </c>
      <c r="BS23" s="2">
        <v>12</v>
      </c>
      <c r="BT23" s="2">
        <v>4</v>
      </c>
      <c r="BU23" s="2">
        <v>14</v>
      </c>
      <c r="BV23" s="2">
        <v>12</v>
      </c>
      <c r="BW23" s="2">
        <v>12</v>
      </c>
      <c r="BX23" s="2">
        <v>12</v>
      </c>
      <c r="BY23" s="2">
        <v>4</v>
      </c>
      <c r="BZ23" s="2">
        <v>12</v>
      </c>
      <c r="CA23" s="2">
        <v>12</v>
      </c>
      <c r="CC23" s="49">
        <v>14</v>
      </c>
      <c r="CD23" s="2">
        <v>0</v>
      </c>
      <c r="CE23" s="2">
        <v>0</v>
      </c>
      <c r="CF23" s="2">
        <v>0</v>
      </c>
      <c r="CG23" s="2">
        <v>379.62380435812918</v>
      </c>
      <c r="CH23" s="2">
        <v>0</v>
      </c>
      <c r="CI23" s="2">
        <v>0</v>
      </c>
      <c r="CJ23" s="2">
        <v>0</v>
      </c>
      <c r="CK23" s="2">
        <v>91.570228227785464</v>
      </c>
      <c r="CL23" s="2">
        <v>0</v>
      </c>
      <c r="CM23" s="2">
        <v>140.10232019294571</v>
      </c>
      <c r="CN23" s="2">
        <v>36.635861357149643</v>
      </c>
      <c r="CO23" s="2">
        <v>516.33979926065581</v>
      </c>
      <c r="CP23" s="2">
        <v>0</v>
      </c>
      <c r="CQ23" s="2">
        <v>89.569436223656922</v>
      </c>
      <c r="CR23" s="2">
        <v>0</v>
      </c>
      <c r="CS23" s="2">
        <v>0</v>
      </c>
      <c r="CT23" s="2">
        <v>0</v>
      </c>
      <c r="CU23" s="2">
        <v>0</v>
      </c>
      <c r="CV23" s="2">
        <v>0</v>
      </c>
      <c r="CW23" s="2">
        <v>0</v>
      </c>
      <c r="CY23" s="49">
        <v>14</v>
      </c>
      <c r="CZ23" s="2">
        <v>0</v>
      </c>
      <c r="DA23" s="2">
        <v>0</v>
      </c>
      <c r="DB23" s="2">
        <v>0</v>
      </c>
      <c r="DC23" s="2">
        <v>394</v>
      </c>
      <c r="DD23" s="2">
        <v>0</v>
      </c>
      <c r="DE23" s="2">
        <v>0</v>
      </c>
      <c r="DF23" s="2">
        <v>0</v>
      </c>
      <c r="DG23" s="2">
        <v>104</v>
      </c>
      <c r="DH23" s="2">
        <v>0</v>
      </c>
      <c r="DI23" s="2">
        <v>154</v>
      </c>
      <c r="DJ23" s="2">
        <v>47</v>
      </c>
      <c r="DK23" s="2">
        <v>530</v>
      </c>
      <c r="DL23" s="2">
        <v>0</v>
      </c>
      <c r="DM23" s="2">
        <v>102</v>
      </c>
      <c r="DN23" s="2">
        <v>0</v>
      </c>
      <c r="DO23" s="2">
        <v>0</v>
      </c>
      <c r="DP23" s="2">
        <v>0</v>
      </c>
      <c r="DQ23" s="2">
        <v>0</v>
      </c>
      <c r="DR23" s="2">
        <v>0</v>
      </c>
      <c r="DS23" s="2">
        <v>0</v>
      </c>
      <c r="DU23" s="49">
        <v>14</v>
      </c>
      <c r="DV23" s="2">
        <v>0</v>
      </c>
      <c r="DW23" s="2">
        <v>0</v>
      </c>
      <c r="DX23" s="2">
        <v>0</v>
      </c>
      <c r="DY23" s="2">
        <v>33726400</v>
      </c>
      <c r="DZ23" s="2">
        <v>0</v>
      </c>
      <c r="EA23" s="2">
        <v>0</v>
      </c>
      <c r="EB23" s="2">
        <v>0</v>
      </c>
      <c r="EC23" s="2">
        <v>8902400</v>
      </c>
      <c r="ED23" s="2">
        <v>0</v>
      </c>
      <c r="EE23" s="2">
        <v>13182400</v>
      </c>
      <c r="EF23" s="2">
        <v>4023200</v>
      </c>
      <c r="EG23" s="2">
        <v>45368000</v>
      </c>
      <c r="EH23" s="2">
        <v>0</v>
      </c>
      <c r="EI23" s="2">
        <v>8731200</v>
      </c>
      <c r="EJ23" s="2">
        <v>0</v>
      </c>
      <c r="EK23" s="2">
        <v>0</v>
      </c>
      <c r="EL23" s="2">
        <v>0</v>
      </c>
      <c r="EM23" s="2">
        <v>0</v>
      </c>
      <c r="EN23" s="2">
        <v>0</v>
      </c>
      <c r="EO23" s="2">
        <v>0</v>
      </c>
      <c r="EQ23" s="49">
        <v>14</v>
      </c>
      <c r="ER23" s="2">
        <v>0</v>
      </c>
      <c r="ES23" s="2">
        <v>0</v>
      </c>
      <c r="ET23" s="2">
        <v>0</v>
      </c>
      <c r="EU23" s="2">
        <v>33742400</v>
      </c>
      <c r="EV23" s="2">
        <v>0</v>
      </c>
      <c r="EW23" s="2">
        <v>0</v>
      </c>
      <c r="EX23" s="2">
        <v>0</v>
      </c>
      <c r="EY23" s="2">
        <v>8918400</v>
      </c>
      <c r="EZ23" s="2">
        <v>0</v>
      </c>
      <c r="FA23" s="2">
        <v>13198400</v>
      </c>
      <c r="FB23" s="2">
        <v>4039200</v>
      </c>
      <c r="FC23" s="2">
        <v>45384000</v>
      </c>
      <c r="FD23" s="2">
        <v>0</v>
      </c>
      <c r="FE23" s="2">
        <v>8747200</v>
      </c>
      <c r="FF23" s="2">
        <v>0</v>
      </c>
      <c r="FG23" s="2">
        <v>0</v>
      </c>
      <c r="FH23" s="2">
        <v>0</v>
      </c>
      <c r="FI23" s="2">
        <v>0</v>
      </c>
      <c r="FJ23" s="2">
        <v>0</v>
      </c>
      <c r="FK23" s="2">
        <v>0</v>
      </c>
    </row>
    <row r="24" spans="1:167" x14ac:dyDescent="0.25">
      <c r="A24" s="9">
        <v>16</v>
      </c>
      <c r="B24" s="11">
        <v>8508</v>
      </c>
      <c r="D24" s="29">
        <f t="shared" si="1"/>
        <v>7.6021301690553628E-2</v>
      </c>
      <c r="G24" s="18">
        <v>16</v>
      </c>
      <c r="H24" s="15"/>
      <c r="I24" s="2"/>
      <c r="J24" s="2"/>
      <c r="K24" s="2"/>
      <c r="L24" s="2">
        <v>45.732218027114868</v>
      </c>
      <c r="M24" s="2"/>
      <c r="N24" s="2">
        <v>67.372351884841919</v>
      </c>
      <c r="O24" s="2">
        <v>26.11202597618103</v>
      </c>
      <c r="P24" s="2"/>
      <c r="Q24" s="2">
        <v>54.25984263420105</v>
      </c>
      <c r="R24" s="2">
        <v>75.653153657913208</v>
      </c>
      <c r="S24" s="2">
        <v>68.705648183822632</v>
      </c>
      <c r="T24" s="2">
        <v>60.792356729507446</v>
      </c>
      <c r="U24" s="2"/>
      <c r="V24" s="2"/>
      <c r="W24" s="2">
        <v>0</v>
      </c>
      <c r="X24" s="2">
        <v>41.145128011703491</v>
      </c>
      <c r="Y24" s="2"/>
      <c r="Z24" s="2"/>
      <c r="AA24" s="2"/>
      <c r="AC24" s="39">
        <f t="shared" si="2"/>
        <v>439.77272510528564</v>
      </c>
      <c r="AD24" s="2">
        <f t="shared" si="3"/>
        <v>8</v>
      </c>
      <c r="AF24" s="2">
        <v>19</v>
      </c>
      <c r="AG24" s="2">
        <f t="shared" si="0"/>
        <v>831.80000000000007</v>
      </c>
      <c r="AJ24" s="49">
        <v>15</v>
      </c>
      <c r="AK24" s="2">
        <f t="shared" si="5"/>
        <v>15.996304371135496</v>
      </c>
      <c r="AL24" s="2">
        <f t="shared" si="6"/>
        <v>18.449451374244973</v>
      </c>
      <c r="AM24" s="2">
        <f t="shared" si="7"/>
        <v>8.3664963007970279</v>
      </c>
      <c r="AN24" s="2">
        <f t="shared" si="8"/>
        <v>23.077937024196725</v>
      </c>
      <c r="AO24" s="2">
        <f t="shared" si="9"/>
        <v>7.4239322348904544</v>
      </c>
      <c r="AP24" s="2">
        <f t="shared" si="10"/>
        <v>23.353264948711534</v>
      </c>
      <c r="AQ24" s="2">
        <f t="shared" si="11"/>
        <v>17.033124843632727</v>
      </c>
      <c r="AR24" s="2">
        <f t="shared" si="12"/>
        <v>21.825318989241932</v>
      </c>
      <c r="AS24" s="2">
        <f t="shared" si="13"/>
        <v>9.4826905893706002</v>
      </c>
      <c r="AT24" s="2">
        <f t="shared" si="14"/>
        <v>5.5214410808106082</v>
      </c>
      <c r="AU24" s="2">
        <f t="shared" si="15"/>
        <v>21.783151649451376</v>
      </c>
      <c r="AV24" s="2">
        <f t="shared" si="16"/>
        <v>3.1104614174916905</v>
      </c>
      <c r="AW24" s="2">
        <f t="shared" si="17"/>
        <v>17.630908895957685</v>
      </c>
      <c r="AX24" s="2">
        <f t="shared" si="18"/>
        <v>19.034833267808001</v>
      </c>
      <c r="AY24" s="2">
        <f t="shared" si="19"/>
        <v>6.8856785446227535</v>
      </c>
      <c r="AZ24" s="2">
        <f t="shared" si="20"/>
        <v>21.103513349297689</v>
      </c>
      <c r="BA24" s="2">
        <f t="shared" si="21"/>
        <v>4.683055148504236</v>
      </c>
      <c r="BB24" s="2">
        <f t="shared" si="22"/>
        <v>7.334636691804568</v>
      </c>
      <c r="BC24" s="2">
        <f t="shared" si="23"/>
        <v>20.632231316344406</v>
      </c>
      <c r="BD24" s="2">
        <f t="shared" si="24"/>
        <v>4.8715679616855505</v>
      </c>
      <c r="BG24" s="49">
        <v>15</v>
      </c>
      <c r="BH24" s="2">
        <v>19</v>
      </c>
      <c r="BI24" s="2">
        <v>19</v>
      </c>
      <c r="BJ24" s="2">
        <v>3</v>
      </c>
      <c r="BK24" s="2">
        <v>12</v>
      </c>
      <c r="BL24" s="2">
        <v>12</v>
      </c>
      <c r="BM24" s="2">
        <v>12</v>
      </c>
      <c r="BN24" s="2">
        <v>12</v>
      </c>
      <c r="BO24" s="2">
        <v>19</v>
      </c>
      <c r="BP24" s="2">
        <v>12</v>
      </c>
      <c r="BQ24" s="2">
        <v>19</v>
      </c>
      <c r="BR24" s="2">
        <v>19</v>
      </c>
      <c r="BS24" s="2">
        <v>12</v>
      </c>
      <c r="BT24" s="2">
        <v>19</v>
      </c>
      <c r="BU24" s="2">
        <v>12</v>
      </c>
      <c r="BV24" s="2">
        <v>15</v>
      </c>
      <c r="BW24" s="2">
        <v>16</v>
      </c>
      <c r="BX24" s="2">
        <v>19</v>
      </c>
      <c r="BY24" s="2">
        <v>19</v>
      </c>
      <c r="BZ24" s="2">
        <v>19</v>
      </c>
      <c r="CA24" s="2">
        <v>12</v>
      </c>
      <c r="CC24" s="49">
        <v>15</v>
      </c>
      <c r="CD24" s="2">
        <v>0</v>
      </c>
      <c r="CE24" s="2">
        <v>0</v>
      </c>
      <c r="CF24" s="2">
        <v>85.567730044550245</v>
      </c>
      <c r="CG24" s="2">
        <v>0</v>
      </c>
      <c r="CH24" s="2">
        <v>0</v>
      </c>
      <c r="CI24" s="2">
        <v>0</v>
      </c>
      <c r="CJ24" s="2">
        <v>0</v>
      </c>
      <c r="CK24" s="2">
        <v>0</v>
      </c>
      <c r="CL24" s="2">
        <v>0</v>
      </c>
      <c r="CM24" s="2">
        <v>0</v>
      </c>
      <c r="CN24" s="2">
        <v>0</v>
      </c>
      <c r="CO24" s="2">
        <v>484.195653456066</v>
      </c>
      <c r="CP24" s="2">
        <v>0</v>
      </c>
      <c r="CQ24" s="2">
        <v>0</v>
      </c>
      <c r="CR24" s="2">
        <v>36.252818881715463</v>
      </c>
      <c r="CS24" s="2">
        <v>130.69349018947011</v>
      </c>
      <c r="CT24" s="2">
        <v>0</v>
      </c>
      <c r="CU24" s="2">
        <v>0</v>
      </c>
      <c r="CV24" s="2">
        <v>336.77565745821448</v>
      </c>
      <c r="CW24" s="2">
        <v>0</v>
      </c>
      <c r="CY24" s="49">
        <v>15</v>
      </c>
      <c r="CZ24" s="2">
        <v>0</v>
      </c>
      <c r="DA24" s="2">
        <v>0</v>
      </c>
      <c r="DB24" s="2">
        <v>98</v>
      </c>
      <c r="DC24" s="2">
        <v>0</v>
      </c>
      <c r="DD24" s="2">
        <v>0</v>
      </c>
      <c r="DE24" s="2">
        <v>0</v>
      </c>
      <c r="DF24" s="2">
        <v>0</v>
      </c>
      <c r="DG24" s="2">
        <v>0</v>
      </c>
      <c r="DH24" s="2">
        <v>0</v>
      </c>
      <c r="DI24" s="2">
        <v>0</v>
      </c>
      <c r="DJ24" s="2">
        <v>0</v>
      </c>
      <c r="DK24" s="2">
        <v>498</v>
      </c>
      <c r="DL24" s="2">
        <v>0</v>
      </c>
      <c r="DM24" s="2">
        <v>0</v>
      </c>
      <c r="DN24" s="2">
        <v>46</v>
      </c>
      <c r="DO24" s="2">
        <v>144</v>
      </c>
      <c r="DP24" s="2">
        <v>0</v>
      </c>
      <c r="DQ24" s="2">
        <v>0</v>
      </c>
      <c r="DR24" s="2">
        <v>352</v>
      </c>
      <c r="DS24" s="2">
        <v>0</v>
      </c>
      <c r="DU24" s="49">
        <v>15</v>
      </c>
      <c r="DV24" s="2">
        <v>0</v>
      </c>
      <c r="DW24" s="2">
        <v>0</v>
      </c>
      <c r="DX24" s="2">
        <v>8388800</v>
      </c>
      <c r="DY24" s="2">
        <v>0</v>
      </c>
      <c r="DZ24" s="2">
        <v>0</v>
      </c>
      <c r="EA24" s="2">
        <v>0</v>
      </c>
      <c r="EB24" s="2">
        <v>0</v>
      </c>
      <c r="EC24" s="2">
        <v>0</v>
      </c>
      <c r="ED24" s="2">
        <v>0</v>
      </c>
      <c r="EE24" s="2">
        <v>0</v>
      </c>
      <c r="EF24" s="2">
        <v>0</v>
      </c>
      <c r="EG24" s="2">
        <v>42628800</v>
      </c>
      <c r="EH24" s="2">
        <v>0</v>
      </c>
      <c r="EI24" s="2">
        <v>0</v>
      </c>
      <c r="EJ24" s="2">
        <v>3937600</v>
      </c>
      <c r="EK24" s="2">
        <v>12326400</v>
      </c>
      <c r="EL24" s="2">
        <v>0</v>
      </c>
      <c r="EM24" s="2">
        <v>0</v>
      </c>
      <c r="EN24" s="2">
        <v>30131200</v>
      </c>
      <c r="EO24" s="2">
        <v>0</v>
      </c>
      <c r="EQ24" s="49">
        <v>15</v>
      </c>
      <c r="ER24" s="2">
        <v>0</v>
      </c>
      <c r="ES24" s="2">
        <v>0</v>
      </c>
      <c r="ET24" s="2">
        <v>8404800</v>
      </c>
      <c r="EU24" s="2">
        <v>0</v>
      </c>
      <c r="EV24" s="2">
        <v>0</v>
      </c>
      <c r="EW24" s="2">
        <v>0</v>
      </c>
      <c r="EX24" s="2">
        <v>0</v>
      </c>
      <c r="EY24" s="2">
        <v>0</v>
      </c>
      <c r="EZ24" s="2">
        <v>0</v>
      </c>
      <c r="FA24" s="2">
        <v>0</v>
      </c>
      <c r="FB24" s="2">
        <v>0</v>
      </c>
      <c r="FC24" s="2">
        <v>42644800</v>
      </c>
      <c r="FD24" s="2">
        <v>0</v>
      </c>
      <c r="FE24" s="2">
        <v>0</v>
      </c>
      <c r="FF24" s="2">
        <v>3953600</v>
      </c>
      <c r="FG24" s="2">
        <v>12342400</v>
      </c>
      <c r="FH24" s="2">
        <v>0</v>
      </c>
      <c r="FI24" s="2">
        <v>0</v>
      </c>
      <c r="FJ24" s="2">
        <v>30147200</v>
      </c>
      <c r="FK24" s="2">
        <v>0</v>
      </c>
    </row>
    <row r="25" spans="1:167" x14ac:dyDescent="0.25">
      <c r="A25" s="9">
        <v>17</v>
      </c>
      <c r="B25" s="11">
        <v>1888</v>
      </c>
      <c r="D25" s="29">
        <f t="shared" si="1"/>
        <v>1.6869795203545517E-2</v>
      </c>
      <c r="G25" s="18">
        <v>17</v>
      </c>
      <c r="H25" s="15"/>
      <c r="I25" s="2">
        <v>44.285124540328979</v>
      </c>
      <c r="J25" s="2"/>
      <c r="K25" s="2"/>
      <c r="L25" s="2">
        <v>33.851772546768188</v>
      </c>
      <c r="M25" s="2"/>
      <c r="N25" s="2">
        <v>15.407830476760864</v>
      </c>
      <c r="O25" s="2">
        <v>55.013364553451538</v>
      </c>
      <c r="P25" s="2">
        <v>94.202429056167603</v>
      </c>
      <c r="Q25" s="2"/>
      <c r="R25" s="2">
        <v>69.631320238113403</v>
      </c>
      <c r="S25" s="2"/>
      <c r="T25" s="2">
        <v>17.750412225723267</v>
      </c>
      <c r="U25" s="2">
        <v>94.993084669113159</v>
      </c>
      <c r="V25" s="2"/>
      <c r="W25" s="2">
        <v>41.145128011703491</v>
      </c>
      <c r="X25" s="2">
        <v>0</v>
      </c>
      <c r="Y25" s="2"/>
      <c r="Z25" s="2"/>
      <c r="AA25" s="2">
        <v>32.323318719863892</v>
      </c>
      <c r="AC25" s="39">
        <f t="shared" si="2"/>
        <v>498.60378503799438</v>
      </c>
      <c r="AD25" s="2">
        <f t="shared" si="3"/>
        <v>10</v>
      </c>
      <c r="AF25" s="2">
        <v>20</v>
      </c>
      <c r="AG25" s="2">
        <f t="shared" si="0"/>
        <v>196.4</v>
      </c>
      <c r="AJ25" s="49">
        <v>16</v>
      </c>
      <c r="AK25" s="2">
        <f t="shared" si="5"/>
        <v>49.02613746023804</v>
      </c>
      <c r="AL25" s="2">
        <f t="shared" si="6"/>
        <v>56.544644197433804</v>
      </c>
      <c r="AM25" s="2">
        <f t="shared" si="7"/>
        <v>25.641985060223742</v>
      </c>
      <c r="AN25" s="2">
        <f t="shared" si="8"/>
        <v>70.730219092891119</v>
      </c>
      <c r="AO25" s="2">
        <f t="shared" si="9"/>
        <v>22.753175595982704</v>
      </c>
      <c r="AP25" s="2">
        <f t="shared" si="10"/>
        <v>71.57405554165625</v>
      </c>
      <c r="AQ25" s="2">
        <f t="shared" si="11"/>
        <v>52.203827870903183</v>
      </c>
      <c r="AR25" s="2">
        <f t="shared" si="12"/>
        <v>66.891143357518146</v>
      </c>
      <c r="AS25" s="2">
        <f t="shared" si="13"/>
        <v>29.062943636298655</v>
      </c>
      <c r="AT25" s="2">
        <f t="shared" si="14"/>
        <v>16.922341756317241</v>
      </c>
      <c r="AU25" s="2">
        <f t="shared" si="15"/>
        <v>66.761907144644198</v>
      </c>
      <c r="AV25" s="2">
        <f t="shared" si="16"/>
        <v>9.5330712319954269</v>
      </c>
      <c r="AW25" s="2">
        <f t="shared" si="17"/>
        <v>54.035941241645524</v>
      </c>
      <c r="AX25" s="2">
        <f t="shared" si="18"/>
        <v>58.338746917330866</v>
      </c>
      <c r="AY25" s="2">
        <f t="shared" si="19"/>
        <v>21.103513349297689</v>
      </c>
      <c r="AZ25" s="2">
        <f t="shared" si="20"/>
        <v>64.678923478323028</v>
      </c>
      <c r="BA25" s="2">
        <f t="shared" si="21"/>
        <v>14.352821759176527</v>
      </c>
      <c r="BB25" s="2">
        <f t="shared" si="22"/>
        <v>22.479498909896709</v>
      </c>
      <c r="BC25" s="2">
        <f t="shared" si="23"/>
        <v>63.234518746202518</v>
      </c>
      <c r="BD25" s="2">
        <f t="shared" si="24"/>
        <v>14.930583652024735</v>
      </c>
      <c r="BG25" s="49">
        <v>16</v>
      </c>
      <c r="BH25" s="2">
        <v>2</v>
      </c>
      <c r="BI25" s="2">
        <v>2</v>
      </c>
      <c r="BJ25" s="2">
        <v>15</v>
      </c>
      <c r="BK25" s="2">
        <v>7</v>
      </c>
      <c r="BL25" s="2">
        <v>15</v>
      </c>
      <c r="BM25" s="2">
        <v>15</v>
      </c>
      <c r="BN25" s="2">
        <v>7</v>
      </c>
      <c r="BO25" s="2">
        <v>2</v>
      </c>
      <c r="BP25" s="2">
        <v>7</v>
      </c>
      <c r="BQ25" s="2">
        <v>2</v>
      </c>
      <c r="BR25" s="2">
        <v>2</v>
      </c>
      <c r="BS25" s="2">
        <v>15</v>
      </c>
      <c r="BT25" s="2">
        <v>2</v>
      </c>
      <c r="BU25" s="2">
        <v>15</v>
      </c>
      <c r="BV25" s="2">
        <v>15</v>
      </c>
      <c r="BW25" s="2">
        <v>16</v>
      </c>
      <c r="BX25" s="2">
        <v>2</v>
      </c>
      <c r="BY25" s="2">
        <v>2</v>
      </c>
      <c r="BZ25" s="2">
        <v>15</v>
      </c>
      <c r="CA25" s="2">
        <v>15</v>
      </c>
      <c r="CC25" s="49">
        <v>16</v>
      </c>
      <c r="CD25" s="2">
        <v>0</v>
      </c>
      <c r="CE25" s="2">
        <v>126.94652181697541</v>
      </c>
      <c r="CF25" s="2">
        <v>0</v>
      </c>
      <c r="CG25" s="2">
        <v>0</v>
      </c>
      <c r="CH25" s="2">
        <v>0</v>
      </c>
      <c r="CI25" s="2">
        <v>0</v>
      </c>
      <c r="CJ25" s="2">
        <v>35.971535245236922</v>
      </c>
      <c r="CK25" s="2">
        <v>0</v>
      </c>
      <c r="CL25" s="2">
        <v>0</v>
      </c>
      <c r="CM25" s="2">
        <v>0</v>
      </c>
      <c r="CN25" s="2">
        <v>0</v>
      </c>
      <c r="CO25" s="2">
        <v>0</v>
      </c>
      <c r="CP25" s="2">
        <v>0</v>
      </c>
      <c r="CQ25" s="2">
        <v>0</v>
      </c>
      <c r="CR25" s="2">
        <v>130.6934901894702</v>
      </c>
      <c r="CS25" s="2">
        <v>9.688452748317518</v>
      </c>
      <c r="CT25" s="2">
        <v>0</v>
      </c>
      <c r="CU25" s="2">
        <v>0</v>
      </c>
      <c r="CV25" s="2">
        <v>0</v>
      </c>
      <c r="CW25" s="2">
        <v>0</v>
      </c>
      <c r="CY25" s="49">
        <v>16</v>
      </c>
      <c r="CZ25" s="2">
        <v>0</v>
      </c>
      <c r="DA25" s="2">
        <v>140</v>
      </c>
      <c r="DB25" s="2">
        <v>0</v>
      </c>
      <c r="DC25" s="2">
        <v>0</v>
      </c>
      <c r="DD25" s="2">
        <v>0</v>
      </c>
      <c r="DE25" s="2">
        <v>0</v>
      </c>
      <c r="DF25" s="2">
        <v>46</v>
      </c>
      <c r="DG25" s="2">
        <v>0</v>
      </c>
      <c r="DH25" s="2">
        <v>0</v>
      </c>
      <c r="DI25" s="2">
        <v>0</v>
      </c>
      <c r="DJ25" s="2">
        <v>0</v>
      </c>
      <c r="DK25" s="2">
        <v>0</v>
      </c>
      <c r="DL25" s="2">
        <v>0</v>
      </c>
      <c r="DM25" s="2">
        <v>0</v>
      </c>
      <c r="DN25" s="2">
        <v>144</v>
      </c>
      <c r="DO25" s="2">
        <v>16</v>
      </c>
      <c r="DP25" s="2">
        <v>0</v>
      </c>
      <c r="DQ25" s="2">
        <v>0</v>
      </c>
      <c r="DR25" s="2">
        <v>0</v>
      </c>
      <c r="DS25" s="2">
        <v>0</v>
      </c>
      <c r="DU25" s="49">
        <v>16</v>
      </c>
      <c r="DV25" s="2">
        <v>0</v>
      </c>
      <c r="DW25" s="2">
        <v>11984000</v>
      </c>
      <c r="DX25" s="2">
        <v>0</v>
      </c>
      <c r="DY25" s="2">
        <v>0</v>
      </c>
      <c r="DZ25" s="2">
        <v>0</v>
      </c>
      <c r="EA25" s="2">
        <v>0</v>
      </c>
      <c r="EB25" s="2">
        <v>3937600</v>
      </c>
      <c r="EC25" s="2">
        <v>0</v>
      </c>
      <c r="ED25" s="2">
        <v>0</v>
      </c>
      <c r="EE25" s="2">
        <v>0</v>
      </c>
      <c r="EF25" s="2">
        <v>0</v>
      </c>
      <c r="EG25" s="2">
        <v>0</v>
      </c>
      <c r="EH25" s="2">
        <v>0</v>
      </c>
      <c r="EI25" s="2">
        <v>0</v>
      </c>
      <c r="EJ25" s="2">
        <v>12326400</v>
      </c>
      <c r="EK25" s="2">
        <v>1369600</v>
      </c>
      <c r="EL25" s="2">
        <v>0</v>
      </c>
      <c r="EM25" s="2">
        <v>0</v>
      </c>
      <c r="EN25" s="2">
        <v>0</v>
      </c>
      <c r="EO25" s="2">
        <v>0</v>
      </c>
      <c r="EQ25" s="49">
        <v>16</v>
      </c>
      <c r="ER25" s="2">
        <v>0</v>
      </c>
      <c r="ES25" s="2">
        <v>12000000</v>
      </c>
      <c r="ET25" s="2">
        <v>0</v>
      </c>
      <c r="EU25" s="2">
        <v>0</v>
      </c>
      <c r="EV25" s="2">
        <v>0</v>
      </c>
      <c r="EW25" s="2">
        <v>0</v>
      </c>
      <c r="EX25" s="2">
        <v>3953600</v>
      </c>
      <c r="EY25" s="2">
        <v>0</v>
      </c>
      <c r="EZ25" s="2">
        <v>0</v>
      </c>
      <c r="FA25" s="2">
        <v>0</v>
      </c>
      <c r="FB25" s="2">
        <v>0</v>
      </c>
      <c r="FC25" s="2">
        <v>0</v>
      </c>
      <c r="FD25" s="2">
        <v>0</v>
      </c>
      <c r="FE25" s="2">
        <v>0</v>
      </c>
      <c r="FF25" s="2">
        <v>12342400</v>
      </c>
      <c r="FG25" s="2">
        <v>1385600</v>
      </c>
      <c r="FH25" s="2">
        <v>0</v>
      </c>
      <c r="FI25" s="2">
        <v>0</v>
      </c>
      <c r="FJ25" s="2">
        <v>0</v>
      </c>
      <c r="FK25" s="2">
        <v>0</v>
      </c>
    </row>
    <row r="26" spans="1:167" x14ac:dyDescent="0.25">
      <c r="A26" s="9">
        <v>18</v>
      </c>
      <c r="B26" s="11">
        <v>2957</v>
      </c>
      <c r="D26" s="29">
        <f t="shared" si="1"/>
        <v>2.6421601915722508E-2</v>
      </c>
      <c r="G26" s="18">
        <v>18</v>
      </c>
      <c r="H26" s="15"/>
      <c r="I26" s="2">
        <v>24.793976545333862</v>
      </c>
      <c r="J26" s="2">
        <v>11.241608858108521</v>
      </c>
      <c r="K26" s="2"/>
      <c r="L26" s="2">
        <v>70.019727945327759</v>
      </c>
      <c r="M26" s="2">
        <v>83.678644895553589</v>
      </c>
      <c r="N26" s="2">
        <v>86.61378026008606</v>
      </c>
      <c r="O26" s="2"/>
      <c r="P26" s="2">
        <v>31.610924005508423</v>
      </c>
      <c r="Q26" s="2"/>
      <c r="R26" s="2">
        <v>47.570973634719849</v>
      </c>
      <c r="S26" s="2"/>
      <c r="T26" s="2">
        <v>6.8388998508453369</v>
      </c>
      <c r="U26" s="2">
        <v>88.684004545211792</v>
      </c>
      <c r="V26" s="2"/>
      <c r="W26" s="2"/>
      <c r="X26" s="2"/>
      <c r="Y26" s="2">
        <v>0</v>
      </c>
      <c r="Z26" s="2"/>
      <c r="AA26" s="2"/>
      <c r="AC26" s="39">
        <f t="shared" si="2"/>
        <v>451.05254054069519</v>
      </c>
      <c r="AD26" s="2">
        <f t="shared" si="3"/>
        <v>9</v>
      </c>
      <c r="AF26" s="2" t="s">
        <v>25</v>
      </c>
      <c r="AG26" s="2">
        <f>SUM(AG6:AG25)</f>
        <v>11191.6</v>
      </c>
      <c r="AJ26" s="49">
        <v>17</v>
      </c>
      <c r="AK26" s="2">
        <f t="shared" si="5"/>
        <v>10.879330926766505</v>
      </c>
      <c r="AL26" s="2">
        <f t="shared" si="6"/>
        <v>12.547753672397159</v>
      </c>
      <c r="AM26" s="2">
        <f t="shared" si="7"/>
        <v>5.6901819221559027</v>
      </c>
      <c r="AN26" s="2">
        <f t="shared" si="8"/>
        <v>15.695657457378751</v>
      </c>
      <c r="AO26" s="2">
        <f t="shared" si="9"/>
        <v>5.0491297044211736</v>
      </c>
      <c r="AP26" s="2">
        <f t="shared" si="10"/>
        <v>15.882912184138105</v>
      </c>
      <c r="AQ26" s="2">
        <f t="shared" si="11"/>
        <v>11.584488366274707</v>
      </c>
      <c r="AR26" s="2">
        <f t="shared" si="12"/>
        <v>14.843732799599701</v>
      </c>
      <c r="AS26" s="2">
        <f t="shared" si="13"/>
        <v>6.4493227063154519</v>
      </c>
      <c r="AT26" s="2">
        <f t="shared" si="14"/>
        <v>3.7552164123092324</v>
      </c>
      <c r="AU26" s="2">
        <f t="shared" si="15"/>
        <v>14.815054147753674</v>
      </c>
      <c r="AV26" s="2">
        <f t="shared" si="16"/>
        <v>2.115472318524608</v>
      </c>
      <c r="AW26" s="2">
        <f t="shared" si="17"/>
        <v>11.991050430680154</v>
      </c>
      <c r="AX26" s="2">
        <f t="shared" si="18"/>
        <v>12.94588083920083</v>
      </c>
      <c r="AY26" s="2">
        <f t="shared" si="19"/>
        <v>4.683055148504236</v>
      </c>
      <c r="AZ26" s="2">
        <f t="shared" si="20"/>
        <v>14.352821759176527</v>
      </c>
      <c r="BA26" s="2">
        <f t="shared" si="21"/>
        <v>3.1850173344293937</v>
      </c>
      <c r="BB26" s="2">
        <f t="shared" si="22"/>
        <v>4.9883984416884095</v>
      </c>
      <c r="BC26" s="2">
        <f t="shared" si="23"/>
        <v>14.032295650309162</v>
      </c>
      <c r="BD26" s="2">
        <f t="shared" si="24"/>
        <v>3.3132277779763397</v>
      </c>
      <c r="BG26" s="49">
        <v>17</v>
      </c>
      <c r="BH26" s="2">
        <v>1</v>
      </c>
      <c r="BI26" s="2">
        <v>1</v>
      </c>
      <c r="BJ26" s="2">
        <v>1</v>
      </c>
      <c r="BK26" s="2">
        <v>1</v>
      </c>
      <c r="BL26" s="2">
        <v>1</v>
      </c>
      <c r="BM26" s="2">
        <v>1</v>
      </c>
      <c r="BN26" s="2">
        <v>1</v>
      </c>
      <c r="BO26" s="2">
        <v>1</v>
      </c>
      <c r="BP26" s="2">
        <v>1</v>
      </c>
      <c r="BQ26" s="2">
        <v>1</v>
      </c>
      <c r="BR26" s="2">
        <v>1</v>
      </c>
      <c r="BS26" s="2">
        <v>1</v>
      </c>
      <c r="BT26" s="2">
        <v>1</v>
      </c>
      <c r="BU26" s="2">
        <v>1</v>
      </c>
      <c r="BV26" s="2">
        <v>1</v>
      </c>
      <c r="BW26" s="2">
        <v>1</v>
      </c>
      <c r="BX26" s="2">
        <v>17</v>
      </c>
      <c r="BY26" s="2">
        <v>1</v>
      </c>
      <c r="BZ26" s="2">
        <v>1</v>
      </c>
      <c r="CA26" s="2">
        <v>1</v>
      </c>
      <c r="CC26" s="49">
        <v>17</v>
      </c>
      <c r="CD26" s="2">
        <v>641.90786632823949</v>
      </c>
      <c r="CE26" s="2">
        <v>0</v>
      </c>
      <c r="CF26" s="2">
        <v>0</v>
      </c>
      <c r="CG26" s="2">
        <v>0</v>
      </c>
      <c r="CH26" s="2">
        <v>0</v>
      </c>
      <c r="CI26" s="2">
        <v>0</v>
      </c>
      <c r="CJ26" s="2">
        <v>0</v>
      </c>
      <c r="CK26" s="2">
        <v>0</v>
      </c>
      <c r="CL26" s="2">
        <v>0</v>
      </c>
      <c r="CM26" s="2">
        <v>0</v>
      </c>
      <c r="CN26" s="2">
        <v>0</v>
      </c>
      <c r="CO26" s="2">
        <v>0</v>
      </c>
      <c r="CP26" s="2">
        <v>0</v>
      </c>
      <c r="CQ26" s="2">
        <v>0</v>
      </c>
      <c r="CR26" s="2">
        <v>0</v>
      </c>
      <c r="CS26" s="2">
        <v>0</v>
      </c>
      <c r="CT26" s="2">
        <v>50.492133671760641</v>
      </c>
      <c r="CU26" s="2">
        <v>0</v>
      </c>
      <c r="CV26" s="2">
        <v>0</v>
      </c>
      <c r="CW26" s="2">
        <v>0</v>
      </c>
      <c r="CY26" s="49">
        <v>17</v>
      </c>
      <c r="CZ26" s="2">
        <v>655</v>
      </c>
      <c r="DA26" s="2">
        <v>0</v>
      </c>
      <c r="DB26" s="2">
        <v>0</v>
      </c>
      <c r="DC26" s="2">
        <v>0</v>
      </c>
      <c r="DD26" s="2">
        <v>0</v>
      </c>
      <c r="DE26" s="2">
        <v>0</v>
      </c>
      <c r="DF26" s="2">
        <v>0</v>
      </c>
      <c r="DG26" s="2">
        <v>0</v>
      </c>
      <c r="DH26" s="2">
        <v>0</v>
      </c>
      <c r="DI26" s="2">
        <v>0</v>
      </c>
      <c r="DJ26" s="2">
        <v>0</v>
      </c>
      <c r="DK26" s="2">
        <v>0</v>
      </c>
      <c r="DL26" s="2">
        <v>0</v>
      </c>
      <c r="DM26" s="2">
        <v>0</v>
      </c>
      <c r="DN26" s="2">
        <v>0</v>
      </c>
      <c r="DO26" s="2">
        <v>0</v>
      </c>
      <c r="DP26" s="2">
        <v>61</v>
      </c>
      <c r="DQ26" s="2">
        <v>0</v>
      </c>
      <c r="DR26" s="2">
        <v>0</v>
      </c>
      <c r="DS26" s="2">
        <v>0</v>
      </c>
      <c r="DU26" s="49">
        <v>17</v>
      </c>
      <c r="DV26" s="2">
        <v>56068000</v>
      </c>
      <c r="DW26" s="2">
        <v>0</v>
      </c>
      <c r="DX26" s="2">
        <v>0</v>
      </c>
      <c r="DY26" s="2">
        <v>0</v>
      </c>
      <c r="DZ26" s="2">
        <v>0</v>
      </c>
      <c r="EA26" s="2">
        <v>0</v>
      </c>
      <c r="EB26" s="2">
        <v>0</v>
      </c>
      <c r="EC26" s="2">
        <v>0</v>
      </c>
      <c r="ED26" s="2">
        <v>0</v>
      </c>
      <c r="EE26" s="2">
        <v>0</v>
      </c>
      <c r="EF26" s="2">
        <v>0</v>
      </c>
      <c r="EG26" s="2">
        <v>0</v>
      </c>
      <c r="EH26" s="2">
        <v>0</v>
      </c>
      <c r="EI26" s="2">
        <v>0</v>
      </c>
      <c r="EJ26" s="2">
        <v>0</v>
      </c>
      <c r="EK26" s="2">
        <v>0</v>
      </c>
      <c r="EL26" s="2">
        <v>5221600</v>
      </c>
      <c r="EM26" s="2">
        <v>0</v>
      </c>
      <c r="EN26" s="2">
        <v>0</v>
      </c>
      <c r="EO26" s="2">
        <v>0</v>
      </c>
      <c r="EQ26" s="49">
        <v>17</v>
      </c>
      <c r="ER26" s="2">
        <v>56084000</v>
      </c>
      <c r="ES26" s="2">
        <v>0</v>
      </c>
      <c r="ET26" s="2">
        <v>0</v>
      </c>
      <c r="EU26" s="2">
        <v>0</v>
      </c>
      <c r="EV26" s="2">
        <v>0</v>
      </c>
      <c r="EW26" s="2">
        <v>0</v>
      </c>
      <c r="EX26" s="2">
        <v>0</v>
      </c>
      <c r="EY26" s="2">
        <v>0</v>
      </c>
      <c r="EZ26" s="2">
        <v>0</v>
      </c>
      <c r="FA26" s="2">
        <v>0</v>
      </c>
      <c r="FB26" s="2">
        <v>0</v>
      </c>
      <c r="FC26" s="2">
        <v>0</v>
      </c>
      <c r="FD26" s="2">
        <v>0</v>
      </c>
      <c r="FE26" s="2">
        <v>0</v>
      </c>
      <c r="FF26" s="2">
        <v>0</v>
      </c>
      <c r="FG26" s="2">
        <v>0</v>
      </c>
      <c r="FH26" s="2">
        <v>5237600</v>
      </c>
      <c r="FI26" s="2">
        <v>0</v>
      </c>
      <c r="FJ26" s="2">
        <v>0</v>
      </c>
      <c r="FK26" s="2">
        <v>0</v>
      </c>
    </row>
    <row r="27" spans="1:167" x14ac:dyDescent="0.25">
      <c r="A27" s="9">
        <v>19</v>
      </c>
      <c r="B27" s="11">
        <v>8318</v>
      </c>
      <c r="D27" s="29">
        <f t="shared" si="1"/>
        <v>7.4323599842739202E-2</v>
      </c>
      <c r="G27" s="18">
        <v>19</v>
      </c>
      <c r="H27" s="15"/>
      <c r="I27" s="2"/>
      <c r="J27" s="2">
        <v>4.2065918445587158</v>
      </c>
      <c r="K27" s="2">
        <v>32.424873113632202</v>
      </c>
      <c r="L27" s="2">
        <v>94.909912347793579</v>
      </c>
      <c r="M27" s="2">
        <v>83.959835767745972</v>
      </c>
      <c r="N27" s="2"/>
      <c r="O27" s="2"/>
      <c r="P27" s="2">
        <v>38.063913583755493</v>
      </c>
      <c r="Q27" s="2"/>
      <c r="R27" s="2"/>
      <c r="S27" s="2"/>
      <c r="T27" s="2"/>
      <c r="U27" s="2"/>
      <c r="V27" s="2">
        <v>33.646470308303833</v>
      </c>
      <c r="W27" s="2"/>
      <c r="X27" s="2"/>
      <c r="Y27" s="2"/>
      <c r="Z27" s="2">
        <v>0</v>
      </c>
      <c r="AA27" s="2"/>
      <c r="AC27" s="39">
        <f t="shared" si="2"/>
        <v>287.21159696578979</v>
      </c>
      <c r="AD27" s="2">
        <f t="shared" si="3"/>
        <v>6</v>
      </c>
      <c r="AJ27" s="49">
        <v>18</v>
      </c>
      <c r="AK27" s="2">
        <f t="shared" si="5"/>
        <v>17.039291075449444</v>
      </c>
      <c r="AL27" s="2">
        <f t="shared" si="6"/>
        <v>19.652387504914401</v>
      </c>
      <c r="AM27" s="2">
        <f t="shared" si="7"/>
        <v>8.9120063261732003</v>
      </c>
      <c r="AN27" s="2">
        <f t="shared" si="8"/>
        <v>24.582658422388221</v>
      </c>
      <c r="AO27" s="2">
        <f t="shared" si="9"/>
        <v>7.9079854533757459</v>
      </c>
      <c r="AP27" s="2">
        <f t="shared" si="10"/>
        <v>24.875938203652737</v>
      </c>
      <c r="AQ27" s="2">
        <f t="shared" si="11"/>
        <v>18.143714035526646</v>
      </c>
      <c r="AR27" s="2">
        <f t="shared" si="12"/>
        <v>23.248367525644234</v>
      </c>
      <c r="AS27" s="2">
        <f t="shared" si="13"/>
        <v>10.100978412380714</v>
      </c>
      <c r="AT27" s="2">
        <f t="shared" si="14"/>
        <v>5.8814485864398298</v>
      </c>
      <c r="AU27" s="2">
        <f t="shared" si="15"/>
        <v>23.203450802387504</v>
      </c>
      <c r="AV27" s="2">
        <f t="shared" si="16"/>
        <v>3.3132688802316022</v>
      </c>
      <c r="AW27" s="2">
        <f t="shared" si="17"/>
        <v>18.780474641695559</v>
      </c>
      <c r="AX27" s="2">
        <f t="shared" si="18"/>
        <v>20.275937310125453</v>
      </c>
      <c r="AY27" s="2">
        <f t="shared" si="19"/>
        <v>7.334636691804568</v>
      </c>
      <c r="AZ27" s="2">
        <f t="shared" si="20"/>
        <v>22.479498909896705</v>
      </c>
      <c r="BA27" s="2">
        <f t="shared" si="21"/>
        <v>4.9883984416884095</v>
      </c>
      <c r="BB27" s="2">
        <f t="shared" si="22"/>
        <v>7.8128676864791444</v>
      </c>
      <c r="BC27" s="2">
        <f t="shared" si="23"/>
        <v>21.977488473497981</v>
      </c>
      <c r="BD27" s="2">
        <f t="shared" si="24"/>
        <v>5.1892026162479006</v>
      </c>
      <c r="BG27" s="49">
        <v>18</v>
      </c>
      <c r="BH27" s="2">
        <v>2</v>
      </c>
      <c r="BI27" s="2">
        <v>2</v>
      </c>
      <c r="BJ27" s="2">
        <v>2</v>
      </c>
      <c r="BK27" s="2">
        <v>4</v>
      </c>
      <c r="BL27" s="2">
        <v>2</v>
      </c>
      <c r="BM27" s="2">
        <v>2</v>
      </c>
      <c r="BN27" s="2">
        <v>4</v>
      </c>
      <c r="BO27" s="2">
        <v>2</v>
      </c>
      <c r="BP27" s="2">
        <v>4</v>
      </c>
      <c r="BQ27" s="2">
        <v>2</v>
      </c>
      <c r="BR27" s="2">
        <v>2</v>
      </c>
      <c r="BS27" s="2">
        <v>2</v>
      </c>
      <c r="BT27" s="2">
        <v>13</v>
      </c>
      <c r="BU27" s="2">
        <v>4</v>
      </c>
      <c r="BV27" s="2">
        <v>2</v>
      </c>
      <c r="BW27" s="2">
        <v>2</v>
      </c>
      <c r="BX27" s="2">
        <v>2</v>
      </c>
      <c r="BY27" s="2">
        <v>18</v>
      </c>
      <c r="BZ27" s="2">
        <v>2</v>
      </c>
      <c r="CA27" s="2">
        <v>2</v>
      </c>
      <c r="CC27" s="49">
        <v>18</v>
      </c>
      <c r="CD27" s="2">
        <v>0</v>
      </c>
      <c r="CE27" s="2">
        <v>672.21200644556552</v>
      </c>
      <c r="CF27" s="2">
        <v>0</v>
      </c>
      <c r="CG27" s="2">
        <v>231.94895786158889</v>
      </c>
      <c r="CH27" s="2">
        <v>0</v>
      </c>
      <c r="CI27" s="2">
        <v>0</v>
      </c>
      <c r="CJ27" s="2">
        <v>0</v>
      </c>
      <c r="CK27" s="2">
        <v>0</v>
      </c>
      <c r="CL27" s="2">
        <v>0</v>
      </c>
      <c r="CM27" s="2">
        <v>0</v>
      </c>
      <c r="CN27" s="2">
        <v>0</v>
      </c>
      <c r="CO27" s="2">
        <v>0</v>
      </c>
      <c r="CP27" s="2">
        <v>576.27144888308464</v>
      </c>
      <c r="CQ27" s="2">
        <v>0</v>
      </c>
      <c r="CR27" s="2">
        <v>0</v>
      </c>
      <c r="CS27" s="2">
        <v>0</v>
      </c>
      <c r="CT27" s="2">
        <v>0</v>
      </c>
      <c r="CU27" s="2">
        <v>17.011617815880111</v>
      </c>
      <c r="CV27" s="2">
        <v>0</v>
      </c>
      <c r="CW27" s="2">
        <v>0</v>
      </c>
      <c r="CY27" s="49">
        <v>18</v>
      </c>
      <c r="CZ27" s="2">
        <v>0</v>
      </c>
      <c r="DA27" s="2">
        <v>685</v>
      </c>
      <c r="DB27" s="2">
        <v>0</v>
      </c>
      <c r="DC27" s="2">
        <v>247</v>
      </c>
      <c r="DD27" s="2">
        <v>0</v>
      </c>
      <c r="DE27" s="2">
        <v>0</v>
      </c>
      <c r="DF27" s="2">
        <v>0</v>
      </c>
      <c r="DG27" s="2">
        <v>0</v>
      </c>
      <c r="DH27" s="2">
        <v>0</v>
      </c>
      <c r="DI27" s="2">
        <v>0</v>
      </c>
      <c r="DJ27" s="2">
        <v>0</v>
      </c>
      <c r="DK27" s="2">
        <v>0</v>
      </c>
      <c r="DL27" s="2">
        <v>590</v>
      </c>
      <c r="DM27" s="2">
        <v>0</v>
      </c>
      <c r="DN27" s="2">
        <v>0</v>
      </c>
      <c r="DO27" s="2">
        <v>0</v>
      </c>
      <c r="DP27" s="2">
        <v>0</v>
      </c>
      <c r="DQ27" s="2">
        <v>25</v>
      </c>
      <c r="DR27" s="2">
        <v>0</v>
      </c>
      <c r="DS27" s="2">
        <v>0</v>
      </c>
      <c r="DU27" s="49">
        <v>18</v>
      </c>
      <c r="DV27" s="2">
        <v>0</v>
      </c>
      <c r="DW27" s="2">
        <v>58636000</v>
      </c>
      <c r="DX27" s="2">
        <v>0</v>
      </c>
      <c r="DY27" s="2">
        <v>21143200</v>
      </c>
      <c r="DZ27" s="2">
        <v>0</v>
      </c>
      <c r="EA27" s="2">
        <v>0</v>
      </c>
      <c r="EB27" s="2">
        <v>0</v>
      </c>
      <c r="EC27" s="2">
        <v>0</v>
      </c>
      <c r="ED27" s="2">
        <v>0</v>
      </c>
      <c r="EE27" s="2">
        <v>0</v>
      </c>
      <c r="EF27" s="2">
        <v>0</v>
      </c>
      <c r="EG27" s="2">
        <v>0</v>
      </c>
      <c r="EH27" s="2">
        <v>50504000</v>
      </c>
      <c r="EI27" s="2">
        <v>0</v>
      </c>
      <c r="EJ27" s="2">
        <v>0</v>
      </c>
      <c r="EK27" s="2">
        <v>0</v>
      </c>
      <c r="EL27" s="2">
        <v>0</v>
      </c>
      <c r="EM27" s="2">
        <v>2140000</v>
      </c>
      <c r="EN27" s="2">
        <v>0</v>
      </c>
      <c r="EO27" s="2">
        <v>0</v>
      </c>
      <c r="EQ27" s="49">
        <v>18</v>
      </c>
      <c r="ER27" s="2">
        <v>0</v>
      </c>
      <c r="ES27" s="2">
        <v>58652000</v>
      </c>
      <c r="ET27" s="2">
        <v>0</v>
      </c>
      <c r="EU27" s="2">
        <v>21159200</v>
      </c>
      <c r="EV27" s="2">
        <v>0</v>
      </c>
      <c r="EW27" s="2">
        <v>0</v>
      </c>
      <c r="EX27" s="2">
        <v>0</v>
      </c>
      <c r="EY27" s="2">
        <v>0</v>
      </c>
      <c r="EZ27" s="2">
        <v>0</v>
      </c>
      <c r="FA27" s="2">
        <v>0</v>
      </c>
      <c r="FB27" s="2">
        <v>0</v>
      </c>
      <c r="FC27" s="2">
        <v>0</v>
      </c>
      <c r="FD27" s="2">
        <v>50520000</v>
      </c>
      <c r="FE27" s="2">
        <v>0</v>
      </c>
      <c r="FF27" s="2">
        <v>0</v>
      </c>
      <c r="FG27" s="2">
        <v>0</v>
      </c>
      <c r="FH27" s="2">
        <v>0</v>
      </c>
      <c r="FI27" s="2">
        <v>2156000</v>
      </c>
      <c r="FJ27" s="2">
        <v>0</v>
      </c>
      <c r="FK27" s="2">
        <v>0</v>
      </c>
    </row>
    <row r="28" spans="1:167" ht="15.75" thickBot="1" x14ac:dyDescent="0.3">
      <c r="A28" s="9">
        <v>20</v>
      </c>
      <c r="B28" s="11">
        <v>1964</v>
      </c>
      <c r="D28" s="30">
        <f t="shared" si="1"/>
        <v>1.754887594267129E-2</v>
      </c>
      <c r="G28" s="19">
        <v>20</v>
      </c>
      <c r="H28" s="15"/>
      <c r="I28" s="2">
        <v>61.487644910812378</v>
      </c>
      <c r="J28" s="2">
        <v>73.711186647415161</v>
      </c>
      <c r="K28" s="2"/>
      <c r="L28" s="2"/>
      <c r="M28" s="2">
        <v>3.4930408000946045</v>
      </c>
      <c r="N28" s="2">
        <v>3.4199059009552002</v>
      </c>
      <c r="O28" s="2"/>
      <c r="P28" s="2">
        <v>26.110225915908813</v>
      </c>
      <c r="Q28" s="2"/>
      <c r="R28" s="2">
        <v>91.467553377151489</v>
      </c>
      <c r="S28" s="2"/>
      <c r="T28" s="2"/>
      <c r="U28" s="2"/>
      <c r="V28" s="2"/>
      <c r="W28" s="2"/>
      <c r="X28" s="2">
        <v>32.323318719863892</v>
      </c>
      <c r="Y28" s="2"/>
      <c r="Z28" s="2"/>
      <c r="AA28" s="2">
        <v>0</v>
      </c>
      <c r="AC28" s="39">
        <f t="shared" si="2"/>
        <v>292.01287627220154</v>
      </c>
      <c r="AD28" s="2">
        <f t="shared" si="3"/>
        <v>7</v>
      </c>
      <c r="AJ28" s="49">
        <v>19</v>
      </c>
      <c r="AK28" s="2">
        <f t="shared" si="5"/>
        <v>47.931289538582519</v>
      </c>
      <c r="AL28" s="2">
        <f t="shared" si="6"/>
        <v>55.281893563029428</v>
      </c>
      <c r="AM28" s="2">
        <f t="shared" si="7"/>
        <v>25.069350226955933</v>
      </c>
      <c r="AN28" s="2">
        <f t="shared" si="8"/>
        <v>69.150677293684566</v>
      </c>
      <c r="AO28" s="2">
        <f t="shared" si="9"/>
        <v>22.245053432931844</v>
      </c>
      <c r="AP28" s="2">
        <f t="shared" si="10"/>
        <v>69.975669251938953</v>
      </c>
      <c r="AQ28" s="2">
        <f t="shared" si="11"/>
        <v>51.038016012009017</v>
      </c>
      <c r="AR28" s="2">
        <f t="shared" si="12"/>
        <v>65.39733550162623</v>
      </c>
      <c r="AS28" s="2">
        <f t="shared" si="13"/>
        <v>28.413912219879197</v>
      </c>
      <c r="AT28" s="2">
        <f t="shared" si="14"/>
        <v>16.544433324993747</v>
      </c>
      <c r="AU28" s="2">
        <f t="shared" si="15"/>
        <v>65.270985381893567</v>
      </c>
      <c r="AV28" s="2">
        <f t="shared" si="16"/>
        <v>9.3201794202794961</v>
      </c>
      <c r="AW28" s="2">
        <f t="shared" si="17"/>
        <v>52.829214768219025</v>
      </c>
      <c r="AX28" s="2">
        <f t="shared" si="18"/>
        <v>57.035930519318072</v>
      </c>
      <c r="AY28" s="2">
        <f t="shared" si="19"/>
        <v>20.632231316344402</v>
      </c>
      <c r="AZ28" s="2">
        <f t="shared" si="20"/>
        <v>63.234518746202511</v>
      </c>
      <c r="BA28" s="2">
        <f t="shared" si="21"/>
        <v>14.032295650309162</v>
      </c>
      <c r="BB28" s="2">
        <f t="shared" si="22"/>
        <v>21.977488473497981</v>
      </c>
      <c r="BC28" s="2">
        <f t="shared" si="23"/>
        <v>61.822370349190471</v>
      </c>
      <c r="BD28" s="2">
        <f t="shared" si="24"/>
        <v>14.59715500911398</v>
      </c>
      <c r="BG28" s="49">
        <v>19</v>
      </c>
      <c r="BH28" s="2">
        <v>2</v>
      </c>
      <c r="BI28" s="2">
        <v>2</v>
      </c>
      <c r="BJ28" s="2">
        <v>15</v>
      </c>
      <c r="BK28" s="2">
        <v>15</v>
      </c>
      <c r="BL28" s="2">
        <v>15</v>
      </c>
      <c r="BM28" s="2">
        <v>15</v>
      </c>
      <c r="BN28" s="2">
        <v>15</v>
      </c>
      <c r="BO28" s="2">
        <v>2</v>
      </c>
      <c r="BP28" s="2">
        <v>15</v>
      </c>
      <c r="BQ28" s="2">
        <v>2</v>
      </c>
      <c r="BR28" s="2">
        <v>2</v>
      </c>
      <c r="BS28" s="2">
        <v>15</v>
      </c>
      <c r="BT28" s="2">
        <v>2</v>
      </c>
      <c r="BU28" s="2">
        <v>15</v>
      </c>
      <c r="BV28" s="2">
        <v>15</v>
      </c>
      <c r="BW28" s="2">
        <v>15</v>
      </c>
      <c r="BX28" s="2">
        <v>2</v>
      </c>
      <c r="BY28" s="2">
        <v>2</v>
      </c>
      <c r="BZ28" s="2">
        <v>19</v>
      </c>
      <c r="CA28" s="2">
        <v>15</v>
      </c>
      <c r="CC28" s="49">
        <v>19</v>
      </c>
      <c r="CD28" s="2">
        <v>0</v>
      </c>
      <c r="CE28" s="2">
        <v>313.20172197706142</v>
      </c>
      <c r="CF28" s="2">
        <v>0</v>
      </c>
      <c r="CG28" s="2">
        <v>0</v>
      </c>
      <c r="CH28" s="2">
        <v>0</v>
      </c>
      <c r="CI28" s="2">
        <v>0</v>
      </c>
      <c r="CJ28" s="2">
        <v>0</v>
      </c>
      <c r="CK28" s="2">
        <v>0</v>
      </c>
      <c r="CL28" s="2">
        <v>0</v>
      </c>
      <c r="CM28" s="2">
        <v>0</v>
      </c>
      <c r="CN28" s="2">
        <v>0</v>
      </c>
      <c r="CO28" s="2">
        <v>0</v>
      </c>
      <c r="CP28" s="2">
        <v>0</v>
      </c>
      <c r="CQ28" s="2">
        <v>0</v>
      </c>
      <c r="CR28" s="2">
        <v>336.7756574582146</v>
      </c>
      <c r="CS28" s="2">
        <v>0</v>
      </c>
      <c r="CT28" s="2">
        <v>0</v>
      </c>
      <c r="CU28" s="2">
        <v>0</v>
      </c>
      <c r="CV28" s="2">
        <v>2.7503775711171272</v>
      </c>
      <c r="CW28" s="2">
        <v>0</v>
      </c>
      <c r="CY28" s="49">
        <v>19</v>
      </c>
      <c r="CZ28" s="2">
        <v>0</v>
      </c>
      <c r="DA28" s="2">
        <v>328</v>
      </c>
      <c r="DB28" s="2">
        <v>0</v>
      </c>
      <c r="DC28" s="2">
        <v>0</v>
      </c>
      <c r="DD28" s="2">
        <v>0</v>
      </c>
      <c r="DE28" s="2">
        <v>0</v>
      </c>
      <c r="DF28" s="2">
        <v>0</v>
      </c>
      <c r="DG28" s="2">
        <v>0</v>
      </c>
      <c r="DH28" s="2">
        <v>0</v>
      </c>
      <c r="DI28" s="2">
        <v>0</v>
      </c>
      <c r="DJ28" s="2">
        <v>0</v>
      </c>
      <c r="DK28" s="2">
        <v>0</v>
      </c>
      <c r="DL28" s="2">
        <v>0</v>
      </c>
      <c r="DM28" s="2">
        <v>0</v>
      </c>
      <c r="DN28" s="2">
        <v>352</v>
      </c>
      <c r="DO28" s="2">
        <v>0</v>
      </c>
      <c r="DP28" s="2">
        <v>0</v>
      </c>
      <c r="DQ28" s="2">
        <v>0</v>
      </c>
      <c r="DR28" s="2">
        <v>7</v>
      </c>
      <c r="DS28" s="2">
        <v>0</v>
      </c>
      <c r="DU28" s="49">
        <v>19</v>
      </c>
      <c r="DV28" s="2">
        <v>0</v>
      </c>
      <c r="DW28" s="2">
        <v>28076800</v>
      </c>
      <c r="DX28" s="2">
        <v>0</v>
      </c>
      <c r="DY28" s="2">
        <v>0</v>
      </c>
      <c r="DZ28" s="2">
        <v>0</v>
      </c>
      <c r="EA28" s="2">
        <v>0</v>
      </c>
      <c r="EB28" s="2">
        <v>0</v>
      </c>
      <c r="EC28" s="2">
        <v>0</v>
      </c>
      <c r="ED28" s="2">
        <v>0</v>
      </c>
      <c r="EE28" s="2">
        <v>0</v>
      </c>
      <c r="EF28" s="2">
        <v>0</v>
      </c>
      <c r="EG28" s="2">
        <v>0</v>
      </c>
      <c r="EH28" s="2">
        <v>0</v>
      </c>
      <c r="EI28" s="2">
        <v>0</v>
      </c>
      <c r="EJ28" s="2">
        <v>30131200</v>
      </c>
      <c r="EK28" s="2">
        <v>0</v>
      </c>
      <c r="EL28" s="2">
        <v>0</v>
      </c>
      <c r="EM28" s="2">
        <v>0</v>
      </c>
      <c r="EN28" s="2">
        <v>599200</v>
      </c>
      <c r="EO28" s="2">
        <v>0</v>
      </c>
      <c r="EQ28" s="49">
        <v>19</v>
      </c>
      <c r="ER28" s="2">
        <v>0</v>
      </c>
      <c r="ES28" s="2">
        <v>28092800</v>
      </c>
      <c r="ET28" s="2">
        <v>0</v>
      </c>
      <c r="EU28" s="2">
        <v>0</v>
      </c>
      <c r="EV28" s="2">
        <v>0</v>
      </c>
      <c r="EW28" s="2">
        <v>0</v>
      </c>
      <c r="EX28" s="2">
        <v>0</v>
      </c>
      <c r="EY28" s="2">
        <v>0</v>
      </c>
      <c r="EZ28" s="2">
        <v>0</v>
      </c>
      <c r="FA28" s="2">
        <v>0</v>
      </c>
      <c r="FB28" s="2">
        <v>0</v>
      </c>
      <c r="FC28" s="2">
        <v>0</v>
      </c>
      <c r="FD28" s="2">
        <v>0</v>
      </c>
      <c r="FE28" s="2">
        <v>0</v>
      </c>
      <c r="FF28" s="2">
        <v>30147200</v>
      </c>
      <c r="FG28" s="2">
        <v>0</v>
      </c>
      <c r="FH28" s="2">
        <v>0</v>
      </c>
      <c r="FI28" s="2">
        <v>0</v>
      </c>
      <c r="FJ28" s="2">
        <v>615200</v>
      </c>
      <c r="FK28" s="2">
        <v>0</v>
      </c>
    </row>
    <row r="29" spans="1:167" x14ac:dyDescent="0.25">
      <c r="A29" s="1" t="s">
        <v>3</v>
      </c>
      <c r="B29" s="31">
        <f>SUM(B9:B28)</f>
        <v>111916</v>
      </c>
      <c r="D29" s="32">
        <f>SUM(D9:D28)</f>
        <v>1</v>
      </c>
      <c r="AB29" s="31">
        <f>SUM(H9:AA28)</f>
        <v>9103.3379077911377</v>
      </c>
      <c r="AJ29" s="49">
        <v>20</v>
      </c>
      <c r="AK29" s="2">
        <f t="shared" si="5"/>
        <v>11.317270095428716</v>
      </c>
      <c r="AL29" s="2">
        <f t="shared" si="6"/>
        <v>13.052853926158907</v>
      </c>
      <c r="AM29" s="2">
        <f t="shared" si="7"/>
        <v>5.9192358554630262</v>
      </c>
      <c r="AN29" s="2">
        <f t="shared" si="8"/>
        <v>16.327474177061369</v>
      </c>
      <c r="AO29" s="2">
        <f t="shared" si="9"/>
        <v>5.2523785696415173</v>
      </c>
      <c r="AP29" s="2">
        <f t="shared" si="10"/>
        <v>16.522266700025018</v>
      </c>
      <c r="AQ29" s="2">
        <f t="shared" si="11"/>
        <v>12.050813109832376</v>
      </c>
      <c r="AR29" s="2">
        <f t="shared" si="12"/>
        <v>15.441255941956468</v>
      </c>
      <c r="AS29" s="2">
        <f t="shared" si="13"/>
        <v>6.7089352728832345</v>
      </c>
      <c r="AT29" s="2">
        <f t="shared" si="14"/>
        <v>3.906379784838629</v>
      </c>
      <c r="AU29" s="2">
        <f t="shared" si="15"/>
        <v>15.411422852853926</v>
      </c>
      <c r="AV29" s="2">
        <f t="shared" si="16"/>
        <v>2.2006290432109799</v>
      </c>
      <c r="AW29" s="2">
        <f t="shared" si="17"/>
        <v>12.473741020050753</v>
      </c>
      <c r="AX29" s="2">
        <f t="shared" si="18"/>
        <v>13.467007398405949</v>
      </c>
      <c r="AY29" s="2">
        <f t="shared" si="19"/>
        <v>4.8715679616855505</v>
      </c>
      <c r="AZ29" s="2">
        <f t="shared" si="20"/>
        <v>14.930583652024733</v>
      </c>
      <c r="BA29" s="2">
        <f t="shared" si="21"/>
        <v>3.3132277779763397</v>
      </c>
      <c r="BB29" s="2">
        <f t="shared" si="22"/>
        <v>5.1892026162478997</v>
      </c>
      <c r="BC29" s="2">
        <f t="shared" si="23"/>
        <v>14.59715500911398</v>
      </c>
      <c r="BD29" s="2">
        <f t="shared" si="24"/>
        <v>3.4465992351406416</v>
      </c>
      <c r="BG29" s="49">
        <v>20</v>
      </c>
      <c r="BH29" s="2">
        <v>12</v>
      </c>
      <c r="BI29" s="2">
        <v>12</v>
      </c>
      <c r="BJ29" s="2">
        <v>10</v>
      </c>
      <c r="BK29" s="2">
        <v>9</v>
      </c>
      <c r="BL29" s="2">
        <v>12</v>
      </c>
      <c r="BM29" s="2">
        <v>12</v>
      </c>
      <c r="BN29" s="2">
        <v>12</v>
      </c>
      <c r="BO29" s="2">
        <v>12</v>
      </c>
      <c r="BP29" s="2">
        <v>9</v>
      </c>
      <c r="BQ29" s="2">
        <v>10</v>
      </c>
      <c r="BR29" s="2">
        <v>12</v>
      </c>
      <c r="BS29" s="2">
        <v>12</v>
      </c>
      <c r="BT29" s="2">
        <v>12</v>
      </c>
      <c r="BU29" s="2">
        <v>12</v>
      </c>
      <c r="BV29" s="2">
        <v>12</v>
      </c>
      <c r="BW29" s="2">
        <v>12</v>
      </c>
      <c r="BX29" s="2">
        <v>12</v>
      </c>
      <c r="BY29" s="2">
        <v>12</v>
      </c>
      <c r="BZ29" s="2">
        <v>12</v>
      </c>
      <c r="CA29" s="2">
        <v>20</v>
      </c>
      <c r="CC29" s="49">
        <v>20</v>
      </c>
      <c r="CD29" s="2">
        <v>0</v>
      </c>
      <c r="CE29" s="2">
        <v>0</v>
      </c>
      <c r="CF29" s="2">
        <v>0</v>
      </c>
      <c r="CG29" s="2">
        <v>0</v>
      </c>
      <c r="CH29" s="2">
        <v>0</v>
      </c>
      <c r="CI29" s="2">
        <v>0</v>
      </c>
      <c r="CJ29" s="2">
        <v>0</v>
      </c>
      <c r="CK29" s="2">
        <v>0</v>
      </c>
      <c r="CL29" s="2">
        <v>46.376353621417827</v>
      </c>
      <c r="CM29" s="2">
        <v>41.122181381583808</v>
      </c>
      <c r="CN29" s="2">
        <v>0</v>
      </c>
      <c r="CO29" s="2">
        <v>441.06054197516568</v>
      </c>
      <c r="CP29" s="2">
        <v>0</v>
      </c>
      <c r="CQ29" s="2">
        <v>0</v>
      </c>
      <c r="CR29" s="2">
        <v>0</v>
      </c>
      <c r="CS29" s="2">
        <v>0</v>
      </c>
      <c r="CT29" s="2">
        <v>0</v>
      </c>
      <c r="CU29" s="2">
        <v>0</v>
      </c>
      <c r="CV29" s="2">
        <v>0</v>
      </c>
      <c r="CW29" s="2">
        <v>33.240923021832778</v>
      </c>
      <c r="CY29" s="49">
        <v>20</v>
      </c>
      <c r="CZ29" s="2">
        <v>0</v>
      </c>
      <c r="DA29" s="2">
        <v>0</v>
      </c>
      <c r="DB29" s="2">
        <v>0</v>
      </c>
      <c r="DC29" s="2">
        <v>0</v>
      </c>
      <c r="DD29" s="2">
        <v>0</v>
      </c>
      <c r="DE29" s="2">
        <v>0</v>
      </c>
      <c r="DF29" s="2">
        <v>0</v>
      </c>
      <c r="DG29" s="2">
        <v>0</v>
      </c>
      <c r="DH29" s="2">
        <v>57</v>
      </c>
      <c r="DI29" s="2">
        <v>51</v>
      </c>
      <c r="DJ29" s="2">
        <v>0</v>
      </c>
      <c r="DK29" s="2">
        <v>455</v>
      </c>
      <c r="DL29" s="2">
        <v>0</v>
      </c>
      <c r="DM29" s="2">
        <v>0</v>
      </c>
      <c r="DN29" s="2">
        <v>0</v>
      </c>
      <c r="DO29" s="2">
        <v>0</v>
      </c>
      <c r="DP29" s="2">
        <v>0</v>
      </c>
      <c r="DQ29" s="2">
        <v>0</v>
      </c>
      <c r="DR29" s="2">
        <v>0</v>
      </c>
      <c r="DS29" s="2">
        <v>43</v>
      </c>
      <c r="DU29" s="49">
        <v>20</v>
      </c>
      <c r="DV29" s="2">
        <v>0</v>
      </c>
      <c r="DW29" s="2">
        <v>0</v>
      </c>
      <c r="DX29" s="2">
        <v>0</v>
      </c>
      <c r="DY29" s="2">
        <v>0</v>
      </c>
      <c r="DZ29" s="2">
        <v>0</v>
      </c>
      <c r="EA29" s="2">
        <v>0</v>
      </c>
      <c r="EB29" s="2">
        <v>0</v>
      </c>
      <c r="EC29" s="2">
        <v>0</v>
      </c>
      <c r="ED29" s="2">
        <v>4879200</v>
      </c>
      <c r="EE29" s="2">
        <v>4365600</v>
      </c>
      <c r="EF29" s="2">
        <v>0</v>
      </c>
      <c r="EG29" s="2">
        <v>38948000</v>
      </c>
      <c r="EH29" s="2">
        <v>0</v>
      </c>
      <c r="EI29" s="2">
        <v>0</v>
      </c>
      <c r="EJ29" s="2">
        <v>0</v>
      </c>
      <c r="EK29" s="2">
        <v>0</v>
      </c>
      <c r="EL29" s="2">
        <v>0</v>
      </c>
      <c r="EM29" s="2">
        <v>0</v>
      </c>
      <c r="EN29" s="2">
        <v>0</v>
      </c>
      <c r="EO29" s="2">
        <v>3680800</v>
      </c>
      <c r="EQ29" s="49">
        <v>20</v>
      </c>
      <c r="ER29" s="2">
        <v>0</v>
      </c>
      <c r="ES29" s="2">
        <v>0</v>
      </c>
      <c r="ET29" s="2">
        <v>0</v>
      </c>
      <c r="EU29" s="2">
        <v>0</v>
      </c>
      <c r="EV29" s="2">
        <v>0</v>
      </c>
      <c r="EW29" s="2">
        <v>0</v>
      </c>
      <c r="EX29" s="2">
        <v>0</v>
      </c>
      <c r="EY29" s="2">
        <v>0</v>
      </c>
      <c r="EZ29" s="2">
        <v>4895200</v>
      </c>
      <c r="FA29" s="2">
        <v>4381600</v>
      </c>
      <c r="FB29" s="2">
        <v>0</v>
      </c>
      <c r="FC29" s="2">
        <v>38964000</v>
      </c>
      <c r="FD29" s="2">
        <v>0</v>
      </c>
      <c r="FE29" s="2">
        <v>0</v>
      </c>
      <c r="FF29" s="2">
        <v>0</v>
      </c>
      <c r="FG29" s="2">
        <v>0</v>
      </c>
      <c r="FH29" s="2">
        <v>0</v>
      </c>
      <c r="FI29" s="2">
        <v>0</v>
      </c>
      <c r="FJ29" s="2">
        <v>0</v>
      </c>
      <c r="FK29" s="2">
        <v>3696800</v>
      </c>
    </row>
    <row r="30" spans="1:167" hidden="1" x14ac:dyDescent="0.25">
      <c r="H30" s="2">
        <f>SUM(H9:H28)</f>
        <v>197.678542137146</v>
      </c>
      <c r="I30" s="2">
        <f t="shared" ref="I30:AA30" si="25">SUM(I9:I28)</f>
        <v>612.12146282196045</v>
      </c>
      <c r="J30" s="2">
        <f t="shared" si="25"/>
        <v>370.5522894859314</v>
      </c>
      <c r="K30" s="2">
        <f t="shared" si="25"/>
        <v>508.19225311279297</v>
      </c>
      <c r="L30" s="2">
        <f t="shared" si="25"/>
        <v>576.92741751670837</v>
      </c>
      <c r="M30" s="2">
        <f t="shared" si="25"/>
        <v>325.45236349105835</v>
      </c>
      <c r="N30" s="2">
        <f t="shared" si="25"/>
        <v>738.08004856109619</v>
      </c>
      <c r="O30" s="2">
        <f t="shared" si="25"/>
        <v>320.03430128097534</v>
      </c>
      <c r="P30" s="2">
        <f t="shared" si="25"/>
        <v>543.87158155441284</v>
      </c>
      <c r="Q30" s="2">
        <f t="shared" si="25"/>
        <v>434.44076180458069</v>
      </c>
      <c r="R30" s="2">
        <f t="shared" si="25"/>
        <v>624.60610270500183</v>
      </c>
      <c r="S30" s="2">
        <f t="shared" si="25"/>
        <v>408.64360928535461</v>
      </c>
      <c r="T30" s="2">
        <f t="shared" si="25"/>
        <v>489.48928713798523</v>
      </c>
      <c r="U30" s="2">
        <f t="shared" si="25"/>
        <v>599.53214526176453</v>
      </c>
      <c r="V30" s="2">
        <f t="shared" si="25"/>
        <v>385.06221771240234</v>
      </c>
      <c r="W30" s="2">
        <f t="shared" si="25"/>
        <v>439.77272510528564</v>
      </c>
      <c r="X30" s="2">
        <f t="shared" si="25"/>
        <v>498.60378503799438</v>
      </c>
      <c r="Y30" s="2">
        <f t="shared" si="25"/>
        <v>451.05254054069519</v>
      </c>
      <c r="Z30" s="2">
        <f t="shared" si="25"/>
        <v>287.21159696578979</v>
      </c>
      <c r="AA30" s="2">
        <f t="shared" si="25"/>
        <v>292.01287627220154</v>
      </c>
      <c r="AC30" s="40">
        <f>COUNTIF(AC9:AC28,0)</f>
        <v>0</v>
      </c>
      <c r="AD30" s="2">
        <f>SUM(AD9:AD28)</f>
        <v>188</v>
      </c>
      <c r="AE30">
        <f>(B35*B35-3*B35+4)/2</f>
        <v>172</v>
      </c>
    </row>
    <row r="31" spans="1:167" x14ac:dyDescent="0.25">
      <c r="BZ31" t="s">
        <v>25</v>
      </c>
      <c r="CA31">
        <f>SUM(BH10:CA29)</f>
        <v>3488</v>
      </c>
    </row>
    <row r="32" spans="1:167" ht="15.75" hidden="1" thickBot="1" x14ac:dyDescent="0.3">
      <c r="A32" s="33" t="s">
        <v>13</v>
      </c>
      <c r="B32" s="34">
        <v>0</v>
      </c>
    </row>
    <row r="33" spans="1:167" ht="15.75" hidden="1" thickBot="1" x14ac:dyDescent="0.3">
      <c r="A33" s="33" t="s">
        <v>14</v>
      </c>
      <c r="B33" s="33">
        <v>100</v>
      </c>
    </row>
    <row r="34" spans="1:167" ht="15.75" hidden="1" thickBot="1" x14ac:dyDescent="0.3">
      <c r="A34" s="33" t="s">
        <v>15</v>
      </c>
      <c r="B34" s="33">
        <v>0.5</v>
      </c>
    </row>
    <row r="35" spans="1:167" ht="15.75" hidden="1" thickBot="1" x14ac:dyDescent="0.3">
      <c r="A35" s="35" t="s">
        <v>16</v>
      </c>
      <c r="B35" s="35">
        <v>20</v>
      </c>
    </row>
    <row r="36" spans="1:167" x14ac:dyDescent="0.25">
      <c r="BC36" t="s">
        <v>25</v>
      </c>
      <c r="BD36">
        <f>SUM(AK10:BD29)</f>
        <v>11191.600000000004</v>
      </c>
      <c r="CV36" t="s">
        <v>25</v>
      </c>
      <c r="CW36">
        <f>SUM(CD10:CW29)</f>
        <v>25019.708566704237</v>
      </c>
      <c r="DR36" t="s">
        <v>25</v>
      </c>
      <c r="DS36">
        <f>SUM(CZ10:DS29)</f>
        <v>26013</v>
      </c>
      <c r="EN36" t="s">
        <v>25</v>
      </c>
      <c r="EO36">
        <f>SUM(DV10:EO29)</f>
        <v>2226712800</v>
      </c>
      <c r="FJ36" t="s">
        <v>25</v>
      </c>
      <c r="FK36">
        <f>SUM(ER10:FK29)</f>
        <v>2228088800</v>
      </c>
    </row>
    <row r="38" spans="1:167" ht="15.75" thickBot="1" x14ac:dyDescent="0.3"/>
    <row r="39" spans="1:167" ht="15.75" thickBot="1" x14ac:dyDescent="0.3">
      <c r="A39" s="36" t="s">
        <v>18</v>
      </c>
      <c r="B39" s="37"/>
      <c r="C39" s="38">
        <v>3217</v>
      </c>
    </row>
  </sheetData>
  <mergeCells count="8">
    <mergeCell ref="DZ8:EJ8"/>
    <mergeCell ref="EV8:FF8"/>
    <mergeCell ref="DD8:DN8"/>
    <mergeCell ref="AN4:AW4"/>
    <mergeCell ref="AF3:AG5"/>
    <mergeCell ref="AP8:AY8"/>
    <mergeCell ref="BL8:BV8"/>
    <mergeCell ref="CI8:CR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generator">
                <anchor moveWithCells="1" sizeWithCells="1">
                  <from>
                    <xdr:col>4</xdr:col>
                    <xdr:colOff>9525</xdr:colOff>
                    <xdr:row>38</xdr:row>
                    <xdr:rowOff>0</xdr:rowOff>
                  </from>
                  <to>
                    <xdr:col>6</xdr:col>
                    <xdr:colOff>0</xdr:colOff>
                    <xdr:row>39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param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Dmitry</cp:lastModifiedBy>
  <dcterms:created xsi:type="dcterms:W3CDTF">2017-09-26T07:27:19Z</dcterms:created>
  <dcterms:modified xsi:type="dcterms:W3CDTF">2025-10-31T03:32:23Z</dcterms:modified>
</cp:coreProperties>
</file>