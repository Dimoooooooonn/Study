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rograms\Programs\Study\ММСС\kurs\"/>
    </mc:Choice>
  </mc:AlternateContent>
  <xr:revisionPtr revIDLastSave="0" documentId="13_ncr:1_{9C2F243F-65DB-4EE9-A6D2-0BD752F3FE7B}" xr6:coauthVersionLast="47" xr6:coauthVersionMax="47" xr10:uidLastSave="{00000000-0000-0000-0000-000000000000}"/>
  <bookViews>
    <workbookView xWindow="-108" yWindow="-108" windowWidth="23256" windowHeight="14160" xr2:uid="{00000000-000D-0000-FFFF-FFFF00000000}"/>
  </bookViews>
  <sheets>
    <sheet name="лист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R11" i="1" l="1"/>
  <c r="ES11" i="1"/>
  <c r="ET11" i="1"/>
  <c r="EU11" i="1"/>
  <c r="EV11" i="1"/>
  <c r="EW11" i="1"/>
  <c r="EX11" i="1"/>
  <c r="EY11" i="1"/>
  <c r="EZ11" i="1"/>
  <c r="FA11" i="1"/>
  <c r="FB11" i="1"/>
  <c r="FC11" i="1"/>
  <c r="FD11" i="1"/>
  <c r="FE11" i="1"/>
  <c r="FF11" i="1"/>
  <c r="FG11" i="1"/>
  <c r="FH11" i="1"/>
  <c r="FI11" i="1"/>
  <c r="FJ11" i="1"/>
  <c r="FK11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E12" i="1"/>
  <c r="FF12" i="1"/>
  <c r="FG12" i="1"/>
  <c r="FH12" i="1"/>
  <c r="FI12" i="1"/>
  <c r="FJ12" i="1"/>
  <c r="FK12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E13" i="1"/>
  <c r="FF13" i="1"/>
  <c r="FG13" i="1"/>
  <c r="FH13" i="1"/>
  <c r="FI13" i="1"/>
  <c r="FJ13" i="1"/>
  <c r="FK13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E14" i="1"/>
  <c r="FF14" i="1"/>
  <c r="FG14" i="1"/>
  <c r="FH14" i="1"/>
  <c r="FI14" i="1"/>
  <c r="FJ14" i="1"/>
  <c r="FK14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E15" i="1"/>
  <c r="FF15" i="1"/>
  <c r="FG15" i="1"/>
  <c r="FH15" i="1"/>
  <c r="FI15" i="1"/>
  <c r="FJ15" i="1"/>
  <c r="FK15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E16" i="1"/>
  <c r="FF16" i="1"/>
  <c r="FG16" i="1"/>
  <c r="FH16" i="1"/>
  <c r="FI16" i="1"/>
  <c r="FJ16" i="1"/>
  <c r="FK16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E17" i="1"/>
  <c r="FF17" i="1"/>
  <c r="FG17" i="1"/>
  <c r="FH17" i="1"/>
  <c r="FI17" i="1"/>
  <c r="FJ17" i="1"/>
  <c r="FK17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E19" i="1"/>
  <c r="FF19" i="1"/>
  <c r="FG19" i="1"/>
  <c r="FH19" i="1"/>
  <c r="FI19" i="1"/>
  <c r="FJ19" i="1"/>
  <c r="FK19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E20" i="1"/>
  <c r="FF20" i="1"/>
  <c r="FG20" i="1"/>
  <c r="FH20" i="1"/>
  <c r="FI20" i="1"/>
  <c r="FJ20" i="1"/>
  <c r="FK20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E21" i="1"/>
  <c r="FF21" i="1"/>
  <c r="FG21" i="1"/>
  <c r="FH21" i="1"/>
  <c r="FI21" i="1"/>
  <c r="FJ21" i="1"/>
  <c r="FK21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E23" i="1"/>
  <c r="FF23" i="1"/>
  <c r="FG23" i="1"/>
  <c r="FH23" i="1"/>
  <c r="FI23" i="1"/>
  <c r="FJ23" i="1"/>
  <c r="FK23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E24" i="1"/>
  <c r="FF24" i="1"/>
  <c r="FG24" i="1"/>
  <c r="FH24" i="1"/>
  <c r="FI24" i="1"/>
  <c r="FJ24" i="1"/>
  <c r="FK24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E25" i="1"/>
  <c r="FF25" i="1"/>
  <c r="FG25" i="1"/>
  <c r="FH25" i="1"/>
  <c r="FI25" i="1"/>
  <c r="FJ25" i="1"/>
  <c r="FK25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E27" i="1"/>
  <c r="FF27" i="1"/>
  <c r="FG27" i="1"/>
  <c r="FH27" i="1"/>
  <c r="FI27" i="1"/>
  <c r="FJ27" i="1"/>
  <c r="FK27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E28" i="1"/>
  <c r="FF28" i="1"/>
  <c r="FG28" i="1"/>
  <c r="FH28" i="1"/>
  <c r="FI28" i="1"/>
  <c r="FJ28" i="1"/>
  <c r="FK28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E29" i="1"/>
  <c r="FF29" i="1"/>
  <c r="FG29" i="1"/>
  <c r="FH29" i="1"/>
  <c r="FI29" i="1"/>
  <c r="FJ29" i="1"/>
  <c r="FK29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E10" i="1"/>
  <c r="FF10" i="1"/>
  <c r="FG10" i="1"/>
  <c r="FH10" i="1"/>
  <c r="FI10" i="1"/>
  <c r="FJ10" i="1"/>
  <c r="FK10" i="1"/>
  <c r="ER10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DV10" i="1"/>
  <c r="AK10" i="1" l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H43" i="1" a="1"/>
  <c r="H43" i="1" s="1"/>
  <c r="FK36" i="1" l="1"/>
  <c r="EO36" i="1"/>
  <c r="DS36" i="1"/>
  <c r="CW36" i="1" l="1"/>
  <c r="CA31" i="1" l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6" i="1"/>
  <c r="AG26" i="1" l="1"/>
  <c r="BB6" i="1" s="1"/>
  <c r="AE30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9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H30" i="1"/>
  <c r="AN6" i="1" l="1"/>
  <c r="AS6" i="1"/>
  <c r="AO6" i="1"/>
  <c r="AL6" i="1"/>
  <c r="AX6" i="1"/>
  <c r="AW6" i="1"/>
  <c r="AU6" i="1"/>
  <c r="AV6" i="1"/>
  <c r="AT6" i="1"/>
  <c r="AI6" i="1"/>
  <c r="AQ6" i="1"/>
  <c r="AY6" i="1"/>
  <c r="AM6" i="1"/>
  <c r="AJ6" i="1"/>
  <c r="AK6" i="1"/>
  <c r="AR6" i="1"/>
  <c r="AZ6" i="1"/>
  <c r="AP6" i="1"/>
  <c r="BA6" i="1"/>
  <c r="AD30" i="1"/>
  <c r="AC30" i="1"/>
  <c r="AJ7" i="1" l="1"/>
  <c r="AB29" i="1"/>
  <c r="BD36" i="1" l="1"/>
  <c r="B29" i="1"/>
  <c r="D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<sst xmlns="http://schemas.openxmlformats.org/spreadsheetml/2006/main" count="44" uniqueCount="35">
  <si>
    <t>Codec</t>
  </si>
  <si>
    <t>G.711</t>
  </si>
  <si>
    <t>Распределение абонентов по узлам сети</t>
  </si>
  <si>
    <t>Всего</t>
  </si>
  <si>
    <t>Ki</t>
  </si>
  <si>
    <t>L</t>
  </si>
  <si>
    <t>байт</t>
  </si>
  <si>
    <t>с</t>
  </si>
  <si>
    <t>шт.</t>
  </si>
  <si>
    <t>Эрл</t>
  </si>
  <si>
    <t>-</t>
  </si>
  <si>
    <t>Матрица расстояний</t>
  </si>
  <si>
    <t>Параметры сети (исходные данные)</t>
  </si>
  <si>
    <t>a</t>
  </si>
  <si>
    <t>b</t>
  </si>
  <si>
    <t>p</t>
  </si>
  <si>
    <t>n</t>
  </si>
  <si>
    <t>бит/с</t>
  </si>
  <si>
    <t>Код задания</t>
  </si>
  <si>
    <t>q</t>
  </si>
  <si>
    <t>%</t>
  </si>
  <si>
    <r>
      <rPr>
        <i/>
        <sz val="14"/>
        <color theme="1"/>
        <rFont val="Calibri"/>
        <family val="2"/>
        <charset val="204"/>
        <scheme val="minor"/>
      </rPr>
      <t>y</t>
    </r>
    <r>
      <rPr>
        <b/>
        <sz val="11"/>
        <color theme="1"/>
        <rFont val="Calibri"/>
        <family val="2"/>
        <charset val="204"/>
        <scheme val="minor"/>
      </rPr>
      <t>0</t>
    </r>
  </si>
  <si>
    <r>
      <rPr>
        <i/>
        <sz val="14"/>
        <color theme="1"/>
        <rFont val="Calibri"/>
        <family val="2"/>
        <charset val="204"/>
        <scheme val="minor"/>
      </rPr>
      <t>a</t>
    </r>
    <r>
      <rPr>
        <b/>
        <sz val="8"/>
        <color theme="1"/>
        <rFont val="Calibri"/>
        <family val="2"/>
        <charset val="204"/>
        <scheme val="minor"/>
      </rPr>
      <t>0</t>
    </r>
  </si>
  <si>
    <r>
      <rPr>
        <i/>
        <sz val="11"/>
        <color theme="1"/>
        <rFont val="Calibri"/>
        <family val="2"/>
        <charset val="204"/>
        <scheme val="minor"/>
      </rPr>
      <t>T</t>
    </r>
    <r>
      <rPr>
        <b/>
        <sz val="8"/>
        <color theme="1"/>
        <rFont val="Calibri"/>
        <family val="2"/>
        <charset val="204"/>
        <scheme val="minor"/>
      </rPr>
      <t>0</t>
    </r>
  </si>
  <si>
    <t>Абонентов</t>
  </si>
  <si>
    <t>Сумма</t>
  </si>
  <si>
    <t>коэффициентов распределения трафика по направлениям связи</t>
  </si>
  <si>
    <t>интенсивности производимого в узлах сети трафика</t>
  </si>
  <si>
    <t>Матрица интенсивностей трафика в направлениях связи</t>
  </si>
  <si>
    <t>Матрица кратчайших маршрутов</t>
  </si>
  <si>
    <t>Матрица интенсивности нагрузки на линиях связи</t>
  </si>
  <si>
    <t>Матрица количества потоков</t>
  </si>
  <si>
    <t>Матрица трафика для линий связи</t>
  </si>
  <si>
    <t>Матрица пропускной способности для линий связи.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</si>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</sst>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7" borderId="0" applyNumberFormat="0" applyBorder="0" applyAlignment="0" applyProtection="0"/>
    <xf numFmtId="0" fontId="13" fillId="0" borderId="0"/>
  </cellStyleXfs>
  <cellXfs count="59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1" fillId="2" borderId="2" xfId="0" applyFont="1" applyFill="1" applyBorder="1"/>
    <xf numFmtId="0" fontId="1" fillId="2" borderId="10" xfId="0" applyFont="1" applyFill="1" applyBorder="1"/>
    <xf numFmtId="0" fontId="0" fillId="3" borderId="2" xfId="0" applyFont="1" applyFill="1" applyBorder="1"/>
    <xf numFmtId="0" fontId="0" fillId="3" borderId="2" xfId="0" applyFont="1" applyFill="1" applyBorder="1" applyAlignment="1">
      <alignment horizontal="right"/>
    </xf>
    <xf numFmtId="0" fontId="0" fillId="2" borderId="3" xfId="0" applyFill="1" applyBorder="1"/>
    <xf numFmtId="0" fontId="0" fillId="2" borderId="1" xfId="0" applyFill="1" applyBorder="1"/>
    <xf numFmtId="0" fontId="0" fillId="3" borderId="3" xfId="0" applyFill="1" applyBorder="1"/>
    <xf numFmtId="0" fontId="0" fillId="3" borderId="1" xfId="0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11" xfId="0" applyBorder="1"/>
    <xf numFmtId="0" fontId="0" fillId="0" borderId="6" xfId="0" applyBorder="1"/>
    <xf numFmtId="0" fontId="0" fillId="2" borderId="2" xfId="0" applyFill="1" applyBorder="1"/>
    <xf numFmtId="0" fontId="0" fillId="2" borderId="9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3" xfId="0" applyFill="1" applyBorder="1"/>
    <xf numFmtId="0" fontId="0" fillId="2" borderId="12" xfId="0" applyFill="1" applyBorder="1"/>
    <xf numFmtId="0" fontId="0" fillId="2" borderId="5" xfId="0" applyFill="1" applyBorder="1"/>
    <xf numFmtId="0" fontId="0" fillId="2" borderId="15" xfId="0" applyFill="1" applyBorder="1"/>
    <xf numFmtId="0" fontId="0" fillId="0" borderId="14" xfId="0" applyBorder="1" applyAlignment="1">
      <alignment horizontal="center"/>
    </xf>
    <xf numFmtId="0" fontId="0" fillId="0" borderId="0" xfId="0" applyAlignment="1">
      <alignment horizontal="left"/>
    </xf>
    <xf numFmtId="0" fontId="1" fillId="2" borderId="2" xfId="0" applyFont="1" applyFill="1" applyBorder="1" applyAlignment="1">
      <alignment horizontal="right"/>
    </xf>
    <xf numFmtId="0" fontId="0" fillId="3" borderId="2" xfId="0" applyFill="1" applyBorder="1"/>
    <xf numFmtId="164" fontId="0" fillId="0" borderId="15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2" fillId="0" borderId="0" xfId="0" applyFont="1"/>
    <xf numFmtId="164" fontId="2" fillId="0" borderId="0" xfId="0" applyNumberFormat="1" applyFont="1"/>
    <xf numFmtId="0" fontId="0" fillId="0" borderId="2" xfId="0" applyBorder="1"/>
    <xf numFmtId="0" fontId="0" fillId="0" borderId="16" xfId="0" applyBorder="1"/>
    <xf numFmtId="0" fontId="0" fillId="0" borderId="2" xfId="0" applyFill="1" applyBorder="1"/>
    <xf numFmtId="0" fontId="3" fillId="4" borderId="17" xfId="0" applyFont="1" applyFill="1" applyBorder="1"/>
    <xf numFmtId="0" fontId="3" fillId="4" borderId="18" xfId="0" applyFont="1" applyFill="1" applyBorder="1"/>
    <xf numFmtId="0" fontId="0" fillId="5" borderId="2" xfId="0" applyFill="1" applyBorder="1"/>
    <xf numFmtId="165" fontId="0" fillId="0" borderId="1" xfId="0" applyNumberFormat="1" applyBorder="1"/>
    <xf numFmtId="1" fontId="0" fillId="0" borderId="1" xfId="0" applyNumberFormat="1" applyFill="1" applyBorder="1"/>
    <xf numFmtId="0" fontId="1" fillId="0" borderId="0" xfId="0" applyFont="1" applyFill="1" applyBorder="1" applyAlignment="1">
      <alignment horizontal="right"/>
    </xf>
    <xf numFmtId="11" fontId="0" fillId="0" borderId="0" xfId="0" applyNumberFormat="1" applyFill="1" applyBorder="1"/>
    <xf numFmtId="0" fontId="1" fillId="6" borderId="2" xfId="0" applyFont="1" applyFill="1" applyBorder="1" applyAlignment="1">
      <alignment horizontal="right"/>
    </xf>
    <xf numFmtId="0" fontId="0" fillId="6" borderId="2" xfId="0" applyFill="1" applyBorder="1"/>
    <xf numFmtId="0" fontId="6" fillId="2" borderId="2" xfId="0" applyFont="1" applyFill="1" applyBorder="1"/>
    <xf numFmtId="0" fontId="6" fillId="2" borderId="2" xfId="0" applyFont="1" applyFill="1" applyBorder="1" applyAlignment="1">
      <alignment horizontal="right"/>
    </xf>
    <xf numFmtId="0" fontId="7" fillId="6" borderId="2" xfId="0" applyFont="1" applyFill="1" applyBorder="1" applyAlignment="1">
      <alignment horizontal="right"/>
    </xf>
    <xf numFmtId="2" fontId="0" fillId="6" borderId="2" xfId="0" applyNumberFormat="1" applyFill="1" applyBorder="1"/>
    <xf numFmtId="0" fontId="8" fillId="7" borderId="1" xfId="1" applyBorder="1"/>
    <xf numFmtId="0" fontId="10" fillId="0" borderId="1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6" xfId="0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9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</cellXfs>
  <cellStyles count="3">
    <cellStyle name="Обычный" xfId="0" builtinId="0"/>
    <cellStyle name="Обычный 2" xfId="2" xr:uid="{3647230E-8421-4146-8969-6B4E0BAABA73}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38</xdr:row>
          <xdr:rowOff>0</xdr:rowOff>
        </xdr:from>
        <xdr:to>
          <xdr:col>6</xdr:col>
          <xdr:colOff>0</xdr:colOff>
          <xdr:row>39</xdr:row>
          <xdr:rowOff>45720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106018</xdr:colOff>
      <xdr:row>0</xdr:row>
      <xdr:rowOff>0</xdr:rowOff>
    </xdr:from>
    <xdr:to>
      <xdr:col>34</xdr:col>
      <xdr:colOff>65629</xdr:colOff>
      <xdr:row>2</xdr:row>
      <xdr:rowOff>66389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4348" y="0"/>
          <a:ext cx="2398011" cy="444076"/>
        </a:xfrm>
        <a:prstGeom prst="rect">
          <a:avLst/>
        </a:prstGeom>
      </xdr:spPr>
    </xdr:pic>
    <xdr:clientData/>
  </xdr:twoCellAnchor>
  <xdr:twoCellAnchor editAs="oneCell">
    <xdr:from>
      <xdr:col>35</xdr:col>
      <xdr:colOff>251790</xdr:colOff>
      <xdr:row>1</xdr:row>
      <xdr:rowOff>172280</xdr:rowOff>
    </xdr:from>
    <xdr:to>
      <xdr:col>38</xdr:col>
      <xdr:colOff>607653</xdr:colOff>
      <xdr:row>3</xdr:row>
      <xdr:rowOff>256109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91860" y="357810"/>
          <a:ext cx="2184663" cy="468142"/>
        </a:xfrm>
        <a:prstGeom prst="rect">
          <a:avLst/>
        </a:prstGeom>
      </xdr:spPr>
    </xdr:pic>
    <xdr:clientData/>
  </xdr:twoCellAnchor>
  <xdr:twoCellAnchor editAs="oneCell">
    <xdr:from>
      <xdr:col>35</xdr:col>
      <xdr:colOff>59635</xdr:colOff>
      <xdr:row>30</xdr:row>
      <xdr:rowOff>79513</xdr:rowOff>
    </xdr:from>
    <xdr:to>
      <xdr:col>37</xdr:col>
      <xdr:colOff>571717</xdr:colOff>
      <xdr:row>38</xdr:row>
      <xdr:rowOff>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199705" y="5705061"/>
          <a:ext cx="1731282" cy="6692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K62"/>
  <sheetViews>
    <sheetView tabSelected="1" topLeftCell="ER2" zoomScaleNormal="100" workbookViewId="0">
      <selection activeCell="FH38" sqref="FH38"/>
    </sheetView>
  </sheetViews>
  <sheetFormatPr defaultRowHeight="14.4" x14ac:dyDescent="0.3"/>
  <cols>
    <col min="2" max="2" width="11.44140625" customWidth="1"/>
    <col min="3" max="3" width="6.6640625" customWidth="1"/>
    <col min="4" max="4" width="7.33203125" customWidth="1"/>
    <col min="5" max="5" width="10.109375" customWidth="1"/>
    <col min="6" max="6" width="9.6640625" customWidth="1"/>
    <col min="7" max="7" width="5.109375" customWidth="1"/>
    <col min="8" max="8" width="7.21875" customWidth="1"/>
    <col min="9" max="10" width="5.109375" customWidth="1"/>
    <col min="11" max="11" width="5.6640625" customWidth="1"/>
    <col min="12" max="26" width="5.109375" customWidth="1"/>
    <col min="27" max="27" width="5.5546875" customWidth="1"/>
    <col min="29" max="29" width="7.33203125" hidden="1" customWidth="1"/>
    <col min="30" max="31" width="0" hidden="1" customWidth="1"/>
    <col min="35" max="35" width="7.88671875" customWidth="1"/>
    <col min="36" max="56" width="8.88671875" customWidth="1"/>
    <col min="58" max="58" width="13.44140625" customWidth="1"/>
    <col min="59" max="59" width="3.6640625" customWidth="1"/>
    <col min="60" max="60" width="4.88671875" customWidth="1"/>
    <col min="61" max="61" width="4.33203125" customWidth="1"/>
    <col min="62" max="62" width="3.88671875" customWidth="1"/>
    <col min="63" max="63" width="4.33203125" customWidth="1"/>
    <col min="64" max="64" width="4.44140625" customWidth="1"/>
    <col min="65" max="65" width="4.33203125" customWidth="1"/>
    <col min="66" max="66" width="5" customWidth="1"/>
    <col min="67" max="67" width="4.109375" customWidth="1"/>
    <col min="68" max="68" width="4.6640625" customWidth="1"/>
    <col min="69" max="69" width="4.5546875" customWidth="1"/>
    <col min="70" max="70" width="4.33203125" customWidth="1"/>
    <col min="71" max="71" width="4.6640625" customWidth="1"/>
    <col min="72" max="72" width="4.33203125" customWidth="1"/>
    <col min="73" max="73" width="4" customWidth="1"/>
    <col min="74" max="74" width="4.109375" customWidth="1"/>
    <col min="75" max="76" width="4.33203125" customWidth="1"/>
    <col min="77" max="77" width="4.6640625" customWidth="1"/>
    <col min="78" max="78" width="7.6640625" customWidth="1"/>
    <col min="79" max="79" width="7.88671875" customWidth="1"/>
    <col min="81" max="100" width="6" customWidth="1"/>
    <col min="101" max="101" width="7.33203125" customWidth="1"/>
    <col min="102" max="102" width="4.44140625" customWidth="1"/>
    <col min="103" max="122" width="6.33203125" customWidth="1"/>
    <col min="123" max="123" width="7" customWidth="1"/>
    <col min="126" max="126" width="10.5546875" customWidth="1"/>
    <col min="127" max="127" width="10.6640625" customWidth="1"/>
    <col min="128" max="128" width="10.44140625" customWidth="1"/>
    <col min="129" max="129" width="10.5546875" customWidth="1"/>
    <col min="130" max="130" width="10" customWidth="1"/>
    <col min="131" max="131" width="10.33203125" customWidth="1"/>
    <col min="132" max="132" width="10.109375" customWidth="1"/>
    <col min="133" max="133" width="10" customWidth="1"/>
    <col min="134" max="134" width="10.6640625" customWidth="1"/>
    <col min="135" max="135" width="10" customWidth="1"/>
    <col min="136" max="136" width="11" customWidth="1"/>
    <col min="137" max="137" width="10.44140625" customWidth="1"/>
    <col min="138" max="138" width="11.109375" customWidth="1"/>
    <col min="139" max="139" width="10.6640625" customWidth="1"/>
    <col min="140" max="141" width="10.33203125" customWidth="1"/>
    <col min="142" max="142" width="10.5546875" customWidth="1"/>
    <col min="143" max="143" width="10.6640625" customWidth="1"/>
    <col min="144" max="144" width="10.33203125" customWidth="1"/>
    <col min="145" max="145" width="10.5546875" customWidth="1"/>
    <col min="147" max="167" width="10.109375" customWidth="1"/>
  </cols>
  <sheetData>
    <row r="1" spans="1:167" x14ac:dyDescent="0.3">
      <c r="A1" s="1" t="s">
        <v>12</v>
      </c>
    </row>
    <row r="2" spans="1:167" ht="15" thickBot="1" x14ac:dyDescent="0.35"/>
    <row r="3" spans="1:167" ht="15" thickBot="1" x14ac:dyDescent="0.35">
      <c r="A3" s="45" t="s">
        <v>16</v>
      </c>
      <c r="B3" s="6">
        <v>20</v>
      </c>
      <c r="C3" t="s">
        <v>8</v>
      </c>
      <c r="D3" s="46" t="s">
        <v>5</v>
      </c>
      <c r="E3" s="27">
        <v>200</v>
      </c>
      <c r="F3" t="s">
        <v>6</v>
      </c>
      <c r="AF3" s="56" t="s">
        <v>27</v>
      </c>
      <c r="AG3" s="56"/>
    </row>
    <row r="4" spans="1:167" ht="21.6" thickBot="1" x14ac:dyDescent="0.45">
      <c r="A4" s="4" t="s">
        <v>21</v>
      </c>
      <c r="B4" s="6">
        <v>0.1</v>
      </c>
      <c r="C4" t="s">
        <v>9</v>
      </c>
      <c r="D4" s="26" t="s">
        <v>22</v>
      </c>
      <c r="E4" s="27">
        <v>85600</v>
      </c>
      <c r="F4" s="25" t="s">
        <v>17</v>
      </c>
      <c r="G4" s="41"/>
      <c r="H4" s="42"/>
      <c r="AF4" s="56"/>
      <c r="AG4" s="56"/>
      <c r="AN4" s="54" t="s">
        <v>26</v>
      </c>
      <c r="AO4" s="55"/>
      <c r="AP4" s="55"/>
      <c r="AQ4" s="55"/>
      <c r="AR4" s="55"/>
      <c r="AS4" s="55"/>
      <c r="AT4" s="55"/>
      <c r="AU4" s="55"/>
      <c r="AV4" s="55"/>
      <c r="AW4" s="55"/>
    </row>
    <row r="5" spans="1:167" ht="15" thickBot="1" x14ac:dyDescent="0.35">
      <c r="A5" s="5" t="s">
        <v>0</v>
      </c>
      <c r="B5" s="7" t="s">
        <v>1</v>
      </c>
      <c r="C5" t="s">
        <v>10</v>
      </c>
      <c r="D5" s="43" t="s">
        <v>23</v>
      </c>
      <c r="E5" s="48">
        <v>0.1</v>
      </c>
      <c r="F5" t="s">
        <v>7</v>
      </c>
      <c r="AF5" s="56"/>
      <c r="AG5" s="56"/>
      <c r="AI5" s="2">
        <v>1</v>
      </c>
      <c r="AJ5" s="2">
        <v>2</v>
      </c>
      <c r="AK5" s="2">
        <v>3</v>
      </c>
      <c r="AL5" s="2">
        <v>4</v>
      </c>
      <c r="AM5" s="2">
        <v>5</v>
      </c>
      <c r="AN5" s="2">
        <v>6</v>
      </c>
      <c r="AO5" s="2">
        <v>7</v>
      </c>
      <c r="AP5" s="2">
        <v>8</v>
      </c>
      <c r="AQ5" s="2">
        <v>9</v>
      </c>
      <c r="AR5" s="2">
        <v>10</v>
      </c>
      <c r="AS5" s="2">
        <v>11</v>
      </c>
      <c r="AT5" s="2">
        <v>12</v>
      </c>
      <c r="AU5" s="2">
        <v>13</v>
      </c>
      <c r="AV5" s="2">
        <v>14</v>
      </c>
      <c r="AW5" s="2">
        <v>15</v>
      </c>
      <c r="AX5" s="2">
        <v>16</v>
      </c>
      <c r="AY5" s="2">
        <v>17</v>
      </c>
      <c r="AZ5" s="2">
        <v>18</v>
      </c>
      <c r="BA5" s="2">
        <v>19</v>
      </c>
      <c r="BB5" s="2">
        <v>20</v>
      </c>
    </row>
    <row r="6" spans="1:167" ht="15" thickBot="1" x14ac:dyDescent="0.35">
      <c r="D6" s="47" t="s">
        <v>19</v>
      </c>
      <c r="E6" s="44">
        <v>98</v>
      </c>
      <c r="F6" t="s">
        <v>20</v>
      </c>
      <c r="AF6" s="2">
        <v>1</v>
      </c>
      <c r="AG6" s="2">
        <f>B9*B$4</f>
        <v>644.90000000000009</v>
      </c>
      <c r="AI6" s="2">
        <f>$AG6/$AG$26</f>
        <v>5.7623574823975128E-2</v>
      </c>
      <c r="AJ6" s="2">
        <f>$AG7/$AG$26</f>
        <v>6.6460559705493416E-2</v>
      </c>
      <c r="AK6" s="2">
        <f>$AG8/$AG$26</f>
        <v>3.013867543514779E-2</v>
      </c>
      <c r="AL6" s="2">
        <f>$AG9/$AG$26</f>
        <v>8.3133778905607789E-2</v>
      </c>
      <c r="AM6" s="2">
        <f>$AG10/$AG$26</f>
        <v>2.6743271739518924E-2</v>
      </c>
      <c r="AN6" s="2">
        <f>$AG11/$AG$26</f>
        <v>8.4125594195646733E-2</v>
      </c>
      <c r="AO6" s="2">
        <f>$AG12/$AG$26</f>
        <v>6.135851888916688E-2</v>
      </c>
      <c r="AP6" s="2">
        <f>$AG13/$AG$26</f>
        <v>7.8621466099574683E-2</v>
      </c>
      <c r="AQ6" s="2">
        <f>$AG14/$AG$26</f>
        <v>3.4159548232603025E-2</v>
      </c>
      <c r="AR6" s="2">
        <f>$AG15/$AG$26</f>
        <v>1.988991743807856E-2</v>
      </c>
      <c r="AS6" s="2">
        <f>$AG16/$AG$26</f>
        <v>7.8469566460559706E-2</v>
      </c>
      <c r="AT6" s="2">
        <f>$AG17/$AG$26</f>
        <v>1.1204832195575254E-2</v>
      </c>
      <c r="AU6" s="2">
        <f>$AG18/$AG$26</f>
        <v>6.3511919654026236E-2</v>
      </c>
      <c r="AV6" s="2">
        <f>$AG19/$AG$26</f>
        <v>6.8569284105936601E-2</v>
      </c>
      <c r="AW6" s="2">
        <f>$AG20/$AG$26</f>
        <v>2.4804317523857179E-2</v>
      </c>
      <c r="AX6" s="2">
        <f>$AG21/$AG$26</f>
        <v>7.6021301690553628E-2</v>
      </c>
      <c r="AY6" s="2">
        <f>$AG22/$AG$26</f>
        <v>1.6869795203545517E-2</v>
      </c>
      <c r="AZ6" s="2">
        <f>$AG23/$AG$26</f>
        <v>2.6421601915722504E-2</v>
      </c>
      <c r="BA6" s="2">
        <f>$AG24/$AG$26</f>
        <v>7.4323599842739202E-2</v>
      </c>
      <c r="BB6" s="2">
        <f>$AG25/$AG$26</f>
        <v>1.754887594267129E-2</v>
      </c>
    </row>
    <row r="7" spans="1:167" ht="15" thickBot="1" x14ac:dyDescent="0.35">
      <c r="A7" s="1" t="s">
        <v>2</v>
      </c>
      <c r="G7" s="1" t="s">
        <v>11</v>
      </c>
      <c r="AF7" s="2">
        <v>2</v>
      </c>
      <c r="AG7" s="2">
        <f t="shared" ref="AG7:AG25" si="0">B10*B$4</f>
        <v>743.80000000000007</v>
      </c>
      <c r="AI7" s="2" t="s">
        <v>25</v>
      </c>
      <c r="AJ7" s="2">
        <f>SUM(AI6:BB6)</f>
        <v>1</v>
      </c>
    </row>
    <row r="8" spans="1:167" ht="24" thickBot="1" x14ac:dyDescent="0.5">
      <c r="A8" s="12" t="s">
        <v>16</v>
      </c>
      <c r="B8" s="13" t="s">
        <v>24</v>
      </c>
      <c r="D8" s="24" t="s">
        <v>4</v>
      </c>
      <c r="H8" s="16">
        <v>1</v>
      </c>
      <c r="I8" s="20">
        <v>2</v>
      </c>
      <c r="J8" s="21">
        <v>3</v>
      </c>
      <c r="K8" s="21">
        <v>4</v>
      </c>
      <c r="L8" s="21">
        <v>5</v>
      </c>
      <c r="M8" s="21">
        <v>6</v>
      </c>
      <c r="N8" s="21">
        <v>7</v>
      </c>
      <c r="O8" s="21">
        <v>8</v>
      </c>
      <c r="P8" s="21">
        <v>9</v>
      </c>
      <c r="Q8" s="21">
        <v>10</v>
      </c>
      <c r="R8" s="21">
        <v>11</v>
      </c>
      <c r="S8" s="21">
        <v>12</v>
      </c>
      <c r="T8" s="21">
        <v>13</v>
      </c>
      <c r="U8" s="21">
        <v>14</v>
      </c>
      <c r="V8" s="21">
        <v>15</v>
      </c>
      <c r="W8" s="21">
        <v>16</v>
      </c>
      <c r="X8" s="21">
        <v>17</v>
      </c>
      <c r="Y8" s="21">
        <v>18</v>
      </c>
      <c r="Z8" s="21">
        <v>19</v>
      </c>
      <c r="AA8" s="22">
        <v>20</v>
      </c>
      <c r="AF8" s="2">
        <v>3</v>
      </c>
      <c r="AG8" s="2">
        <f t="shared" si="0"/>
        <v>337.3</v>
      </c>
      <c r="AP8" s="57" t="s">
        <v>28</v>
      </c>
      <c r="AQ8" s="51"/>
      <c r="AR8" s="51"/>
      <c r="AS8" s="51"/>
      <c r="AT8" s="51"/>
      <c r="AU8" s="51"/>
      <c r="AV8" s="51"/>
      <c r="AW8" s="51"/>
      <c r="AX8" s="51"/>
      <c r="AY8" s="52"/>
      <c r="BL8" s="50" t="s">
        <v>29</v>
      </c>
      <c r="BM8" s="51"/>
      <c r="BN8" s="51"/>
      <c r="BO8" s="51"/>
      <c r="BP8" s="51"/>
      <c r="BQ8" s="51"/>
      <c r="BR8" s="51"/>
      <c r="BS8" s="51"/>
      <c r="BT8" s="51"/>
      <c r="BU8" s="51"/>
      <c r="BV8" s="52"/>
      <c r="CI8" s="58" t="s">
        <v>30</v>
      </c>
      <c r="CJ8" s="58"/>
      <c r="CK8" s="58"/>
      <c r="CL8" s="58"/>
      <c r="CM8" s="58"/>
      <c r="CN8" s="58"/>
      <c r="CO8" s="58"/>
      <c r="CP8" s="58"/>
      <c r="CQ8" s="58"/>
      <c r="CR8" s="58"/>
      <c r="DD8" s="53" t="s">
        <v>31</v>
      </c>
      <c r="DE8" s="51"/>
      <c r="DF8" s="51"/>
      <c r="DG8" s="51"/>
      <c r="DH8" s="51"/>
      <c r="DI8" s="51"/>
      <c r="DJ8" s="51"/>
      <c r="DK8" s="51"/>
      <c r="DL8" s="51"/>
      <c r="DM8" s="51"/>
      <c r="DN8" s="52"/>
      <c r="DZ8" s="50" t="s">
        <v>32</v>
      </c>
      <c r="EA8" s="51"/>
      <c r="EB8" s="51"/>
      <c r="EC8" s="51"/>
      <c r="ED8" s="51"/>
      <c r="EE8" s="51"/>
      <c r="EF8" s="51"/>
      <c r="EG8" s="51"/>
      <c r="EH8" s="51"/>
      <c r="EI8" s="51"/>
      <c r="EJ8" s="52"/>
      <c r="EV8" s="53" t="s">
        <v>33</v>
      </c>
      <c r="EW8" s="51"/>
      <c r="EX8" s="51"/>
      <c r="EY8" s="51"/>
      <c r="EZ8" s="51"/>
      <c r="FA8" s="51"/>
      <c r="FB8" s="51"/>
      <c r="FC8" s="51"/>
      <c r="FD8" s="51"/>
      <c r="FE8" s="51"/>
      <c r="FF8" s="52"/>
      <c r="FI8" t="s">
        <v>34</v>
      </c>
    </row>
    <row r="9" spans="1:167" x14ac:dyDescent="0.3">
      <c r="A9" s="8">
        <v>1</v>
      </c>
      <c r="B9" s="10">
        <v>6449</v>
      </c>
      <c r="D9" s="28">
        <v>5.7623574823975121E-2</v>
      </c>
      <c r="G9" s="23">
        <v>1</v>
      </c>
      <c r="H9" s="14">
        <v>0</v>
      </c>
      <c r="I9" s="3"/>
      <c r="J9" s="3">
        <v>40.50179123878479</v>
      </c>
      <c r="K9" s="3"/>
      <c r="L9" s="3"/>
      <c r="M9" s="3"/>
      <c r="N9" s="3">
        <v>80.135160684585571</v>
      </c>
      <c r="O9" s="3">
        <v>20.125442743301392</v>
      </c>
      <c r="P9" s="3"/>
      <c r="Q9" s="3"/>
      <c r="R9" s="3"/>
      <c r="S9" s="3"/>
      <c r="T9" s="3">
        <v>56.916147470474243</v>
      </c>
      <c r="U9" s="3"/>
      <c r="V9" s="3"/>
      <c r="W9" s="3"/>
      <c r="X9" s="3"/>
      <c r="Y9" s="3"/>
      <c r="Z9" s="3"/>
      <c r="AA9" s="3"/>
      <c r="AC9" s="39">
        <f>SUM(H9:AA9)</f>
        <v>197.678542137146</v>
      </c>
      <c r="AD9" s="2">
        <f>COUNTIF(H9:AA9,"&gt;0")</f>
        <v>4</v>
      </c>
      <c r="AF9" s="2">
        <v>4</v>
      </c>
      <c r="AG9" s="2">
        <f t="shared" si="0"/>
        <v>930.40000000000009</v>
      </c>
      <c r="AJ9" s="2"/>
      <c r="AK9" s="49">
        <v>1</v>
      </c>
      <c r="AL9" s="49">
        <v>2</v>
      </c>
      <c r="AM9" s="49">
        <v>3</v>
      </c>
      <c r="AN9" s="49">
        <v>4</v>
      </c>
      <c r="AO9" s="49">
        <v>5</v>
      </c>
      <c r="AP9" s="49">
        <v>6</v>
      </c>
      <c r="AQ9" s="49">
        <v>7</v>
      </c>
      <c r="AR9" s="49">
        <v>8</v>
      </c>
      <c r="AS9" s="49">
        <v>9</v>
      </c>
      <c r="AT9" s="49">
        <v>10</v>
      </c>
      <c r="AU9" s="49">
        <v>11</v>
      </c>
      <c r="AV9" s="49">
        <v>12</v>
      </c>
      <c r="AW9" s="49">
        <v>13</v>
      </c>
      <c r="AX9" s="49">
        <v>14</v>
      </c>
      <c r="AY9" s="49">
        <v>15</v>
      </c>
      <c r="AZ9" s="49">
        <v>16</v>
      </c>
      <c r="BA9" s="49">
        <v>17</v>
      </c>
      <c r="BB9" s="49">
        <v>18</v>
      </c>
      <c r="BC9" s="49">
        <v>19</v>
      </c>
      <c r="BD9" s="49">
        <v>20</v>
      </c>
      <c r="BG9" s="2"/>
      <c r="BH9" s="49">
        <v>1</v>
      </c>
      <c r="BI9" s="49">
        <v>2</v>
      </c>
      <c r="BJ9" s="49">
        <v>3</v>
      </c>
      <c r="BK9" s="49">
        <v>4</v>
      </c>
      <c r="BL9" s="49">
        <v>5</v>
      </c>
      <c r="BM9" s="49">
        <v>6</v>
      </c>
      <c r="BN9" s="49">
        <v>7</v>
      </c>
      <c r="BO9" s="49">
        <v>8</v>
      </c>
      <c r="BP9" s="49">
        <v>9</v>
      </c>
      <c r="BQ9" s="49">
        <v>10</v>
      </c>
      <c r="BR9" s="49">
        <v>11</v>
      </c>
      <c r="BS9" s="49">
        <v>12</v>
      </c>
      <c r="BT9" s="49">
        <v>13</v>
      </c>
      <c r="BU9" s="49">
        <v>14</v>
      </c>
      <c r="BV9" s="49">
        <v>15</v>
      </c>
      <c r="BW9" s="49">
        <v>16</v>
      </c>
      <c r="BX9" s="49">
        <v>17</v>
      </c>
      <c r="BY9" s="49">
        <v>18</v>
      </c>
      <c r="BZ9" s="49">
        <v>19</v>
      </c>
      <c r="CA9" s="49">
        <v>20</v>
      </c>
      <c r="CC9" s="2"/>
      <c r="CD9" s="49">
        <v>1</v>
      </c>
      <c r="CE9" s="49">
        <v>2</v>
      </c>
      <c r="CF9" s="49">
        <v>3</v>
      </c>
      <c r="CG9" s="49">
        <v>4</v>
      </c>
      <c r="CH9" s="49">
        <v>5</v>
      </c>
      <c r="CI9" s="49">
        <v>6</v>
      </c>
      <c r="CJ9" s="49">
        <v>7</v>
      </c>
      <c r="CK9" s="49">
        <v>8</v>
      </c>
      <c r="CL9" s="49">
        <v>9</v>
      </c>
      <c r="CM9" s="49">
        <v>10</v>
      </c>
      <c r="CN9" s="49">
        <v>11</v>
      </c>
      <c r="CO9" s="49">
        <v>12</v>
      </c>
      <c r="CP9" s="49">
        <v>13</v>
      </c>
      <c r="CQ9" s="49">
        <v>14</v>
      </c>
      <c r="CR9" s="49">
        <v>15</v>
      </c>
      <c r="CS9" s="49">
        <v>16</v>
      </c>
      <c r="CT9" s="49">
        <v>17</v>
      </c>
      <c r="CU9" s="49">
        <v>18</v>
      </c>
      <c r="CV9" s="49">
        <v>19</v>
      </c>
      <c r="CW9" s="49">
        <v>20</v>
      </c>
      <c r="CY9" s="2"/>
      <c r="CZ9" s="49">
        <v>1</v>
      </c>
      <c r="DA9" s="49">
        <v>2</v>
      </c>
      <c r="DB9" s="49">
        <v>3</v>
      </c>
      <c r="DC9" s="49">
        <v>4</v>
      </c>
      <c r="DD9" s="49">
        <v>5</v>
      </c>
      <c r="DE9" s="49">
        <v>6</v>
      </c>
      <c r="DF9" s="49">
        <v>7</v>
      </c>
      <c r="DG9" s="49">
        <v>8</v>
      </c>
      <c r="DH9" s="49">
        <v>9</v>
      </c>
      <c r="DI9" s="49">
        <v>10</v>
      </c>
      <c r="DJ9" s="49">
        <v>11</v>
      </c>
      <c r="DK9" s="49">
        <v>12</v>
      </c>
      <c r="DL9" s="49">
        <v>13</v>
      </c>
      <c r="DM9" s="49">
        <v>14</v>
      </c>
      <c r="DN9" s="49">
        <v>15</v>
      </c>
      <c r="DO9" s="49">
        <v>16</v>
      </c>
      <c r="DP9" s="49">
        <v>17</v>
      </c>
      <c r="DQ9" s="49">
        <v>18</v>
      </c>
      <c r="DR9" s="49">
        <v>19</v>
      </c>
      <c r="DS9" s="49">
        <v>20</v>
      </c>
      <c r="DU9" s="2"/>
      <c r="DV9" s="49">
        <v>1</v>
      </c>
      <c r="DW9" s="49">
        <v>2</v>
      </c>
      <c r="DX9" s="49">
        <v>3</v>
      </c>
      <c r="DY9" s="49">
        <v>4</v>
      </c>
      <c r="DZ9" s="49">
        <v>5</v>
      </c>
      <c r="EA9" s="49">
        <v>6</v>
      </c>
      <c r="EB9" s="49">
        <v>7</v>
      </c>
      <c r="EC9" s="49">
        <v>8</v>
      </c>
      <c r="ED9" s="49">
        <v>9</v>
      </c>
      <c r="EE9" s="49">
        <v>10</v>
      </c>
      <c r="EF9" s="49">
        <v>11</v>
      </c>
      <c r="EG9" s="49">
        <v>12</v>
      </c>
      <c r="EH9" s="49">
        <v>13</v>
      </c>
      <c r="EI9" s="49">
        <v>14</v>
      </c>
      <c r="EJ9" s="49">
        <v>15</v>
      </c>
      <c r="EK9" s="49">
        <v>16</v>
      </c>
      <c r="EL9" s="49">
        <v>17</v>
      </c>
      <c r="EM9" s="49">
        <v>18</v>
      </c>
      <c r="EN9" s="49">
        <v>19</v>
      </c>
      <c r="EO9" s="49">
        <v>20</v>
      </c>
      <c r="EQ9" s="2"/>
      <c r="ER9" s="49">
        <v>1</v>
      </c>
      <c r="ES9" s="49">
        <v>2</v>
      </c>
      <c r="ET9" s="49">
        <v>3</v>
      </c>
      <c r="EU9" s="49">
        <v>4</v>
      </c>
      <c r="EV9" s="49">
        <v>5</v>
      </c>
      <c r="EW9" s="49">
        <v>6</v>
      </c>
      <c r="EX9" s="49">
        <v>7</v>
      </c>
      <c r="EY9" s="49">
        <v>8</v>
      </c>
      <c r="EZ9" s="49">
        <v>9</v>
      </c>
      <c r="FA9" s="49">
        <v>10</v>
      </c>
      <c r="FB9" s="49">
        <v>11</v>
      </c>
      <c r="FC9" s="49">
        <v>12</v>
      </c>
      <c r="FD9" s="49">
        <v>13</v>
      </c>
      <c r="FE9" s="49">
        <v>14</v>
      </c>
      <c r="FF9" s="49">
        <v>15</v>
      </c>
      <c r="FG9" s="49">
        <v>16</v>
      </c>
      <c r="FH9" s="49">
        <v>17</v>
      </c>
      <c r="FI9" s="49">
        <v>18</v>
      </c>
      <c r="FJ9" s="49">
        <v>19</v>
      </c>
      <c r="FK9" s="49">
        <v>20</v>
      </c>
    </row>
    <row r="10" spans="1:167" x14ac:dyDescent="0.3">
      <c r="A10" s="9">
        <v>2</v>
      </c>
      <c r="B10" s="11">
        <v>7438</v>
      </c>
      <c r="D10" s="29">
        <v>6.6460559705493402E-2</v>
      </c>
      <c r="G10" s="17">
        <v>2</v>
      </c>
      <c r="H10" s="15"/>
      <c r="I10" s="2">
        <v>0</v>
      </c>
      <c r="J10" s="2"/>
      <c r="K10" s="2">
        <v>56.976383924484253</v>
      </c>
      <c r="L10" s="2"/>
      <c r="M10" s="2"/>
      <c r="N10" s="2">
        <v>87.998789548873901</v>
      </c>
      <c r="O10" s="2">
        <v>49.180859327316284</v>
      </c>
      <c r="P10" s="2"/>
      <c r="Q10" s="2">
        <v>57.4748694896698</v>
      </c>
      <c r="R10" s="2">
        <v>32.028216123580933</v>
      </c>
      <c r="S10" s="2">
        <v>11.917561292648315</v>
      </c>
      <c r="T10" s="2">
        <v>96.019858121871948</v>
      </c>
      <c r="U10" s="2">
        <v>47.274559736251831</v>
      </c>
      <c r="V10" s="2">
        <v>42.683619260787964</v>
      </c>
      <c r="W10" s="2"/>
      <c r="X10" s="2">
        <v>44.285124540328979</v>
      </c>
      <c r="Y10" s="2">
        <v>24.793976545333862</v>
      </c>
      <c r="Z10" s="2"/>
      <c r="AA10" s="2">
        <v>61.487644910812378</v>
      </c>
      <c r="AC10" s="39">
        <f t="shared" ref="AC10:AC28" si="1">SUM(H10:AA10)</f>
        <v>612.12146282196045</v>
      </c>
      <c r="AD10" s="2">
        <f t="shared" ref="AD10:AD28" si="2">COUNTIF(H10:AA10,"&gt;0")</f>
        <v>12</v>
      </c>
      <c r="AF10" s="2">
        <v>5</v>
      </c>
      <c r="AG10" s="2">
        <f t="shared" si="0"/>
        <v>299.3</v>
      </c>
      <c r="AJ10" s="49">
        <v>1</v>
      </c>
      <c r="AK10" s="2">
        <f>$AG6*AI$6</f>
        <v>37.161443403981565</v>
      </c>
      <c r="AL10" s="2">
        <f t="shared" ref="AL10:BD10" si="3">$AG6*AJ$6</f>
        <v>42.860414954072709</v>
      </c>
      <c r="AM10" s="2">
        <f t="shared" si="3"/>
        <v>19.436431788126811</v>
      </c>
      <c r="AN10" s="2">
        <f t="shared" si="3"/>
        <v>53.612974016226474</v>
      </c>
      <c r="AO10" s="2">
        <f t="shared" si="3"/>
        <v>17.246735944815757</v>
      </c>
      <c r="AP10" s="2">
        <f t="shared" si="3"/>
        <v>54.252595696772588</v>
      </c>
      <c r="AQ10" s="2">
        <f t="shared" si="3"/>
        <v>39.570108831623727</v>
      </c>
      <c r="AR10" s="2">
        <f t="shared" si="3"/>
        <v>50.702983487615718</v>
      </c>
      <c r="AS10" s="2">
        <f t="shared" si="3"/>
        <v>22.029492655205694</v>
      </c>
      <c r="AT10" s="2">
        <f t="shared" si="3"/>
        <v>12.827007755816865</v>
      </c>
      <c r="AU10" s="2">
        <f t="shared" si="3"/>
        <v>50.605023410414958</v>
      </c>
      <c r="AV10" s="2">
        <f t="shared" si="3"/>
        <v>7.2259962829264817</v>
      </c>
      <c r="AW10" s="2">
        <f t="shared" si="3"/>
        <v>40.958836984881522</v>
      </c>
      <c r="AX10" s="2">
        <f t="shared" si="3"/>
        <v>44.220331319918522</v>
      </c>
      <c r="AY10" s="2">
        <f t="shared" si="3"/>
        <v>15.996304371135498</v>
      </c>
      <c r="AZ10" s="2">
        <f t="shared" si="3"/>
        <v>49.02613746023804</v>
      </c>
      <c r="BA10" s="2">
        <f t="shared" si="3"/>
        <v>10.879330926766505</v>
      </c>
      <c r="BB10" s="2">
        <f t="shared" si="3"/>
        <v>17.039291075449444</v>
      </c>
      <c r="BC10" s="2">
        <f t="shared" si="3"/>
        <v>47.931289538582519</v>
      </c>
      <c r="BD10" s="2">
        <f t="shared" si="3"/>
        <v>11.317270095428716</v>
      </c>
      <c r="BG10" s="49">
        <v>1</v>
      </c>
      <c r="BH10">
        <v>1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  <c r="BO10">
        <v>8</v>
      </c>
      <c r="BP10">
        <v>8</v>
      </c>
      <c r="BQ10">
        <v>8</v>
      </c>
      <c r="BR10">
        <v>8</v>
      </c>
      <c r="BS10">
        <v>8</v>
      </c>
      <c r="BT10">
        <v>8</v>
      </c>
      <c r="BU10">
        <v>8</v>
      </c>
      <c r="BV10">
        <v>8</v>
      </c>
      <c r="BW10">
        <v>8</v>
      </c>
      <c r="BX10">
        <v>8</v>
      </c>
      <c r="BY10">
        <v>8</v>
      </c>
      <c r="BZ10">
        <v>8</v>
      </c>
      <c r="CA10">
        <v>8</v>
      </c>
      <c r="CC10" s="49">
        <v>1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607.73855659601861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Y10" s="49">
        <v>1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621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U10" s="49">
        <v>1</v>
      </c>
      <c r="DV10" s="2">
        <f>CZ10*$E$4</f>
        <v>0</v>
      </c>
      <c r="DW10" s="2">
        <f t="shared" ref="DW10:EO10" si="4">DA10*$E$4</f>
        <v>0</v>
      </c>
      <c r="DX10" s="2">
        <f t="shared" si="4"/>
        <v>0</v>
      </c>
      <c r="DY10" s="2">
        <f t="shared" si="4"/>
        <v>0</v>
      </c>
      <c r="DZ10" s="2">
        <f t="shared" si="4"/>
        <v>0</v>
      </c>
      <c r="EA10" s="2">
        <f t="shared" si="4"/>
        <v>0</v>
      </c>
      <c r="EB10" s="2">
        <f t="shared" si="4"/>
        <v>0</v>
      </c>
      <c r="EC10" s="2">
        <f t="shared" si="4"/>
        <v>53157600</v>
      </c>
      <c r="ED10" s="2">
        <f t="shared" si="4"/>
        <v>0</v>
      </c>
      <c r="EE10" s="2">
        <f t="shared" si="4"/>
        <v>0</v>
      </c>
      <c r="EF10" s="2">
        <f t="shared" si="4"/>
        <v>0</v>
      </c>
      <c r="EG10" s="2">
        <f t="shared" si="4"/>
        <v>0</v>
      </c>
      <c r="EH10" s="2">
        <f t="shared" si="4"/>
        <v>0</v>
      </c>
      <c r="EI10" s="2">
        <f t="shared" si="4"/>
        <v>0</v>
      </c>
      <c r="EJ10" s="2">
        <f t="shared" si="4"/>
        <v>0</v>
      </c>
      <c r="EK10" s="2">
        <f t="shared" si="4"/>
        <v>0</v>
      </c>
      <c r="EL10" s="2">
        <f t="shared" si="4"/>
        <v>0</v>
      </c>
      <c r="EM10" s="2">
        <f t="shared" si="4"/>
        <v>0</v>
      </c>
      <c r="EN10" s="2">
        <f t="shared" si="4"/>
        <v>0</v>
      </c>
      <c r="EO10" s="2">
        <f t="shared" si="4"/>
        <v>0</v>
      </c>
      <c r="EQ10" s="49">
        <v>1</v>
      </c>
      <c r="ER10" s="2">
        <f>IF(DV10,(DV10+8*$E$3/$E$5),0)</f>
        <v>0</v>
      </c>
      <c r="ES10" s="2">
        <f t="shared" ref="ES10:FK10" si="5">IF(DW10,(DW10+8*$E$3/$E$5),0)</f>
        <v>0</v>
      </c>
      <c r="ET10" s="2">
        <f t="shared" si="5"/>
        <v>0</v>
      </c>
      <c r="EU10" s="2">
        <f t="shared" si="5"/>
        <v>0</v>
      </c>
      <c r="EV10" s="2">
        <f t="shared" si="5"/>
        <v>0</v>
      </c>
      <c r="EW10" s="2">
        <f t="shared" si="5"/>
        <v>0</v>
      </c>
      <c r="EX10" s="2">
        <f t="shared" si="5"/>
        <v>0</v>
      </c>
      <c r="EY10" s="2">
        <f t="shared" si="5"/>
        <v>53173600</v>
      </c>
      <c r="EZ10" s="2">
        <f t="shared" si="5"/>
        <v>0</v>
      </c>
      <c r="FA10" s="2">
        <f t="shared" si="5"/>
        <v>0</v>
      </c>
      <c r="FB10" s="2">
        <f t="shared" si="5"/>
        <v>0</v>
      </c>
      <c r="FC10" s="2">
        <f t="shared" si="5"/>
        <v>0</v>
      </c>
      <c r="FD10" s="2">
        <f t="shared" si="5"/>
        <v>0</v>
      </c>
      <c r="FE10" s="2">
        <f t="shared" si="5"/>
        <v>0</v>
      </c>
      <c r="FF10" s="2">
        <f t="shared" si="5"/>
        <v>0</v>
      </c>
      <c r="FG10" s="2">
        <f t="shared" si="5"/>
        <v>0</v>
      </c>
      <c r="FH10" s="2">
        <f t="shared" si="5"/>
        <v>0</v>
      </c>
      <c r="FI10" s="2">
        <f t="shared" si="5"/>
        <v>0</v>
      </c>
      <c r="FJ10" s="2">
        <f t="shared" si="5"/>
        <v>0</v>
      </c>
      <c r="FK10" s="2">
        <f t="shared" si="5"/>
        <v>0</v>
      </c>
    </row>
    <row r="11" spans="1:167" x14ac:dyDescent="0.3">
      <c r="A11" s="9">
        <v>3</v>
      </c>
      <c r="B11" s="11">
        <v>3373</v>
      </c>
      <c r="D11" s="29">
        <v>3.013867543514779E-2</v>
      </c>
      <c r="G11" s="18">
        <v>3</v>
      </c>
      <c r="H11" s="15">
        <v>40.50179123878479</v>
      </c>
      <c r="I11" s="2"/>
      <c r="J11" s="2">
        <v>0</v>
      </c>
      <c r="K11" s="2">
        <v>25.297337770462001</v>
      </c>
      <c r="L11" s="2">
        <v>22.928458452224731</v>
      </c>
      <c r="M11" s="2"/>
      <c r="N11" s="2">
        <v>45.026332139968872</v>
      </c>
      <c r="O11" s="2"/>
      <c r="P11" s="2">
        <v>72.501403093338013</v>
      </c>
      <c r="Q11" s="2">
        <v>1.463395357131958</v>
      </c>
      <c r="R11" s="2"/>
      <c r="S11" s="2">
        <v>73.674184083938599</v>
      </c>
      <c r="T11" s="2"/>
      <c r="U11" s="2"/>
      <c r="V11" s="2"/>
      <c r="W11" s="2"/>
      <c r="X11" s="2"/>
      <c r="Y11" s="2">
        <v>11.241608858108521</v>
      </c>
      <c r="Z11" s="2">
        <v>4.2065918445587158</v>
      </c>
      <c r="AA11" s="2">
        <v>73.711186647415161</v>
      </c>
      <c r="AC11" s="39">
        <f t="shared" si="1"/>
        <v>370.5522894859314</v>
      </c>
      <c r="AD11" s="2">
        <f t="shared" si="2"/>
        <v>10</v>
      </c>
      <c r="AF11" s="2">
        <v>6</v>
      </c>
      <c r="AG11" s="2">
        <f t="shared" si="0"/>
        <v>941.5</v>
      </c>
      <c r="AJ11" s="49">
        <v>2</v>
      </c>
      <c r="AK11" s="2">
        <f t="shared" ref="AK11:AK29" si="6">$AG7*AI$6</f>
        <v>42.860414954072702</v>
      </c>
      <c r="AL11" s="2">
        <f t="shared" ref="AL11:AL29" si="7">$AG7*AJ$6</f>
        <v>49.433364308946004</v>
      </c>
      <c r="AM11" s="2">
        <f t="shared" ref="AM11:AM29" si="8">$AG7*AK$6</f>
        <v>22.417146788662929</v>
      </c>
      <c r="AN11" s="2">
        <f t="shared" ref="AN11:AN29" si="9">$AG7*AL$6</f>
        <v>61.834904749991075</v>
      </c>
      <c r="AO11" s="2">
        <f t="shared" ref="AO11:AO29" si="10">$AG7*AM$6</f>
        <v>19.891645519854176</v>
      </c>
      <c r="AP11" s="2">
        <f t="shared" ref="AP11:AP29" si="11">$AG7*AN$6</f>
        <v>62.572616962722044</v>
      </c>
      <c r="AQ11" s="2">
        <f t="shared" ref="AQ11:AQ29" si="12">$AG7*AO$6</f>
        <v>45.638466349762332</v>
      </c>
      <c r="AR11" s="2">
        <f t="shared" ref="AR11:AR29" si="13">$AG7*AP$6</f>
        <v>58.478646484863653</v>
      </c>
      <c r="AS11" s="2">
        <f t="shared" ref="AS11:AS29" si="14">$AG7*AQ$6</f>
        <v>25.407871975410131</v>
      </c>
      <c r="AT11" s="2">
        <f t="shared" ref="AT11:AT29" si="15">$AG7*AR$6</f>
        <v>14.794120590442834</v>
      </c>
      <c r="AU11" s="2">
        <f t="shared" ref="AU11:AU29" si="16">$AG7*AS$6</f>
        <v>58.365663533364312</v>
      </c>
      <c r="AV11" s="2">
        <f t="shared" ref="AV11:AV29" si="17">$AG7*AT$6</f>
        <v>8.334154187068874</v>
      </c>
      <c r="AW11" s="2">
        <f t="shared" ref="AW11:AW29" si="18">$AG7*AU$6</f>
        <v>47.240165838664716</v>
      </c>
      <c r="AX11" s="2">
        <f t="shared" ref="AX11:AX29" si="19">$AG7*AV$6</f>
        <v>51.001833517995649</v>
      </c>
      <c r="AY11" s="2">
        <f t="shared" ref="AY11:AY29" si="20">$AG7*AW$6</f>
        <v>18.449451374244973</v>
      </c>
      <c r="AZ11" s="2">
        <f t="shared" ref="AZ11:AZ29" si="21">$AG7*AX$6</f>
        <v>56.54464419743379</v>
      </c>
      <c r="BA11" s="2">
        <f t="shared" ref="BA11:BA29" si="22">$AG7*AY$6</f>
        <v>12.547753672397157</v>
      </c>
      <c r="BB11" s="2">
        <f t="shared" ref="BB11:BB29" si="23">$AG7*AZ$6</f>
        <v>19.652387504914401</v>
      </c>
      <c r="BC11" s="2">
        <f t="shared" ref="BC11:BC29" si="24">$AG7*BA$6</f>
        <v>55.281893563029421</v>
      </c>
      <c r="BD11" s="2">
        <f t="shared" ref="BD11:BD29" si="25">$AG7*BB$6</f>
        <v>13.052853926158907</v>
      </c>
      <c r="BG11" s="49">
        <v>2</v>
      </c>
      <c r="BH11">
        <v>12</v>
      </c>
      <c r="BI11">
        <v>2</v>
      </c>
      <c r="BJ11">
        <v>12</v>
      </c>
      <c r="BK11">
        <v>12</v>
      </c>
      <c r="BL11">
        <v>12</v>
      </c>
      <c r="BM11">
        <v>12</v>
      </c>
      <c r="BN11">
        <v>12</v>
      </c>
      <c r="BO11">
        <v>12</v>
      </c>
      <c r="BP11">
        <v>12</v>
      </c>
      <c r="BQ11">
        <v>12</v>
      </c>
      <c r="BR11">
        <v>11</v>
      </c>
      <c r="BS11">
        <v>12</v>
      </c>
      <c r="BT11">
        <v>18</v>
      </c>
      <c r="BU11">
        <v>14</v>
      </c>
      <c r="BV11">
        <v>15</v>
      </c>
      <c r="BW11">
        <v>12</v>
      </c>
      <c r="BX11">
        <v>17</v>
      </c>
      <c r="BY11">
        <v>18</v>
      </c>
      <c r="BZ11">
        <v>12</v>
      </c>
      <c r="CA11">
        <v>12</v>
      </c>
      <c r="CC11" s="49">
        <v>2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58.365663533364312</v>
      </c>
      <c r="CO11">
        <v>487.10938024947279</v>
      </c>
      <c r="CP11">
        <v>0</v>
      </c>
      <c r="CQ11">
        <v>51.001833517995649</v>
      </c>
      <c r="CR11">
        <v>18.449451374244969</v>
      </c>
      <c r="CS11">
        <v>0</v>
      </c>
      <c r="CT11">
        <v>12.54775367239716</v>
      </c>
      <c r="CU11">
        <v>66.892553343579124</v>
      </c>
      <c r="CV11">
        <v>0</v>
      </c>
      <c r="CW11">
        <v>0</v>
      </c>
      <c r="CY11" s="49">
        <v>2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70</v>
      </c>
      <c r="DK11">
        <v>501</v>
      </c>
      <c r="DL11">
        <v>0</v>
      </c>
      <c r="DM11">
        <v>62</v>
      </c>
      <c r="DN11">
        <v>27</v>
      </c>
      <c r="DO11">
        <v>0</v>
      </c>
      <c r="DP11">
        <v>20</v>
      </c>
      <c r="DQ11">
        <v>79</v>
      </c>
      <c r="DR11">
        <v>0</v>
      </c>
      <c r="DS11">
        <v>0</v>
      </c>
      <c r="DU11" s="49">
        <v>2</v>
      </c>
      <c r="DV11" s="2">
        <f t="shared" ref="DV11:DV29" si="26">CZ11*$E$4</f>
        <v>0</v>
      </c>
      <c r="DW11" s="2">
        <f t="shared" ref="DW11:DW29" si="27">DA11*$E$4</f>
        <v>0</v>
      </c>
      <c r="DX11" s="2">
        <f t="shared" ref="DX11:DX29" si="28">DB11*$E$4</f>
        <v>0</v>
      </c>
      <c r="DY11" s="2">
        <f t="shared" ref="DY11:DY29" si="29">DC11*$E$4</f>
        <v>0</v>
      </c>
      <c r="DZ11" s="2">
        <f t="shared" ref="DZ11:DZ29" si="30">DD11*$E$4</f>
        <v>0</v>
      </c>
      <c r="EA11" s="2">
        <f t="shared" ref="EA11:EA29" si="31">DE11*$E$4</f>
        <v>0</v>
      </c>
      <c r="EB11" s="2">
        <f t="shared" ref="EB11:EB29" si="32">DF11*$E$4</f>
        <v>0</v>
      </c>
      <c r="EC11" s="2">
        <f t="shared" ref="EC11:EC29" si="33">DG11*$E$4</f>
        <v>0</v>
      </c>
      <c r="ED11" s="2">
        <f t="shared" ref="ED11:ED29" si="34">DH11*$E$4</f>
        <v>0</v>
      </c>
      <c r="EE11" s="2">
        <f t="shared" ref="EE11:EE29" si="35">DI11*$E$4</f>
        <v>0</v>
      </c>
      <c r="EF11" s="2">
        <f t="shared" ref="EF11:EF29" si="36">DJ11*$E$4</f>
        <v>5992000</v>
      </c>
      <c r="EG11" s="2">
        <f t="shared" ref="EG11:EG29" si="37">DK11*$E$4</f>
        <v>42885600</v>
      </c>
      <c r="EH11" s="2">
        <f t="shared" ref="EH11:EH29" si="38">DL11*$E$4</f>
        <v>0</v>
      </c>
      <c r="EI11" s="2">
        <f t="shared" ref="EI11:EI29" si="39">DM11*$E$4</f>
        <v>5307200</v>
      </c>
      <c r="EJ11" s="2">
        <f t="shared" ref="EJ11:EJ29" si="40">DN11*$E$4</f>
        <v>2311200</v>
      </c>
      <c r="EK11" s="2">
        <f t="shared" ref="EK11:EK29" si="41">DO11*$E$4</f>
        <v>0</v>
      </c>
      <c r="EL11" s="2">
        <f t="shared" ref="EL11:EL29" si="42">DP11*$E$4</f>
        <v>1712000</v>
      </c>
      <c r="EM11" s="2">
        <f t="shared" ref="EM11:EM29" si="43">DQ11*$E$4</f>
        <v>6762400</v>
      </c>
      <c r="EN11" s="2">
        <f t="shared" ref="EN11:EN29" si="44">DR11*$E$4</f>
        <v>0</v>
      </c>
      <c r="EO11" s="2">
        <f t="shared" ref="EO11:EO29" si="45">DS11*$E$4</f>
        <v>0</v>
      </c>
      <c r="EQ11" s="49">
        <v>2</v>
      </c>
      <c r="ER11" s="2">
        <f t="shared" ref="ER11:ER29" si="46">IF(DV11,(DV11+8*$E$3/$E$5),0)</f>
        <v>0</v>
      </c>
      <c r="ES11" s="2">
        <f t="shared" ref="ES11:ES29" si="47">IF(DW11,(DW11+8*$E$3/$E$5),0)</f>
        <v>0</v>
      </c>
      <c r="ET11" s="2">
        <f t="shared" ref="ET11:ET29" si="48">IF(DX11,(DX11+8*$E$3/$E$5),0)</f>
        <v>0</v>
      </c>
      <c r="EU11" s="2">
        <f t="shared" ref="EU11:EU29" si="49">IF(DY11,(DY11+8*$E$3/$E$5),0)</f>
        <v>0</v>
      </c>
      <c r="EV11" s="2">
        <f t="shared" ref="EV11:EV29" si="50">IF(DZ11,(DZ11+8*$E$3/$E$5),0)</f>
        <v>0</v>
      </c>
      <c r="EW11" s="2">
        <f t="shared" ref="EW11:EW29" si="51">IF(EA11,(EA11+8*$E$3/$E$5),0)</f>
        <v>0</v>
      </c>
      <c r="EX11" s="2">
        <f t="shared" ref="EX11:EX29" si="52">IF(EB11,(EB11+8*$E$3/$E$5),0)</f>
        <v>0</v>
      </c>
      <c r="EY11" s="2">
        <f t="shared" ref="EY11:EY29" si="53">IF(EC11,(EC11+8*$E$3/$E$5),0)</f>
        <v>0</v>
      </c>
      <c r="EZ11" s="2">
        <f t="shared" ref="EZ11:EZ29" si="54">IF(ED11,(ED11+8*$E$3/$E$5),0)</f>
        <v>0</v>
      </c>
      <c r="FA11" s="2">
        <f t="shared" ref="FA11:FA29" si="55">IF(EE11,(EE11+8*$E$3/$E$5),0)</f>
        <v>0</v>
      </c>
      <c r="FB11" s="2">
        <f t="shared" ref="FB11:FB29" si="56">IF(EF11,(EF11+8*$E$3/$E$5),0)</f>
        <v>6008000</v>
      </c>
      <c r="FC11" s="2">
        <f t="shared" ref="FC11:FC29" si="57">IF(EG11,(EG11+8*$E$3/$E$5),0)</f>
        <v>42901600</v>
      </c>
      <c r="FD11" s="2">
        <f t="shared" ref="FD11:FD29" si="58">IF(EH11,(EH11+8*$E$3/$E$5),0)</f>
        <v>0</v>
      </c>
      <c r="FE11" s="2">
        <f t="shared" ref="FE11:FE29" si="59">IF(EI11,(EI11+8*$E$3/$E$5),0)</f>
        <v>5323200</v>
      </c>
      <c r="FF11" s="2">
        <f t="shared" ref="FF11:FF29" si="60">IF(EJ11,(EJ11+8*$E$3/$E$5),0)</f>
        <v>2327200</v>
      </c>
      <c r="FG11" s="2">
        <f t="shared" ref="FG11:FG29" si="61">IF(EK11,(EK11+8*$E$3/$E$5),0)</f>
        <v>0</v>
      </c>
      <c r="FH11" s="2">
        <f t="shared" ref="FH11:FH29" si="62">IF(EL11,(EL11+8*$E$3/$E$5),0)</f>
        <v>1728000</v>
      </c>
      <c r="FI11" s="2">
        <f t="shared" ref="FI11:FI29" si="63">IF(EM11,(EM11+8*$E$3/$E$5),0)</f>
        <v>6778400</v>
      </c>
      <c r="FJ11" s="2">
        <f t="shared" ref="FJ11:FJ29" si="64">IF(EN11,(EN11+8*$E$3/$E$5),0)</f>
        <v>0</v>
      </c>
      <c r="FK11" s="2">
        <f t="shared" ref="FK11:FK29" si="65">IF(EO11,(EO11+8*$E$3/$E$5),0)</f>
        <v>0</v>
      </c>
    </row>
    <row r="12" spans="1:167" x14ac:dyDescent="0.3">
      <c r="A12" s="9">
        <v>4</v>
      </c>
      <c r="B12" s="11">
        <v>9304</v>
      </c>
      <c r="D12" s="29">
        <v>8.3133778905607775E-2</v>
      </c>
      <c r="G12" s="18">
        <v>4</v>
      </c>
      <c r="H12" s="15"/>
      <c r="I12" s="2">
        <v>56.976383924484253</v>
      </c>
      <c r="J12" s="2">
        <v>25.297337770462036</v>
      </c>
      <c r="K12" s="2">
        <v>0</v>
      </c>
      <c r="L12" s="2"/>
      <c r="M12" s="2"/>
      <c r="N12" s="2">
        <v>84.568160772323608</v>
      </c>
      <c r="O12" s="2">
        <v>45.979875326156616</v>
      </c>
      <c r="P12" s="2"/>
      <c r="Q12" s="2">
        <v>72.872823476791382</v>
      </c>
      <c r="R12" s="2">
        <v>61.10796332359314</v>
      </c>
      <c r="S12" s="2">
        <v>62.808984518051147</v>
      </c>
      <c r="T12" s="2"/>
      <c r="U12" s="2">
        <v>31.803983449935913</v>
      </c>
      <c r="V12" s="2">
        <v>34.351867437362671</v>
      </c>
      <c r="W12" s="2"/>
      <c r="X12" s="2"/>
      <c r="Y12" s="2"/>
      <c r="Z12" s="2">
        <v>32.424873113632202</v>
      </c>
      <c r="AA12" s="2"/>
      <c r="AC12" s="39">
        <f t="shared" si="1"/>
        <v>508.19225311279297</v>
      </c>
      <c r="AD12" s="2">
        <f t="shared" si="2"/>
        <v>10</v>
      </c>
      <c r="AF12" s="2">
        <v>7</v>
      </c>
      <c r="AG12" s="2">
        <f t="shared" si="0"/>
        <v>686.7</v>
      </c>
      <c r="AJ12" s="49">
        <v>3</v>
      </c>
      <c r="AK12" s="2">
        <f t="shared" si="6"/>
        <v>19.436431788126811</v>
      </c>
      <c r="AL12" s="2">
        <f t="shared" si="7"/>
        <v>22.417146788662929</v>
      </c>
      <c r="AM12" s="2">
        <f t="shared" si="8"/>
        <v>10.16577522427535</v>
      </c>
      <c r="AN12" s="2">
        <f t="shared" si="9"/>
        <v>28.041023624861509</v>
      </c>
      <c r="AO12" s="2">
        <f t="shared" si="10"/>
        <v>9.0205055577397335</v>
      </c>
      <c r="AP12" s="2">
        <f t="shared" si="11"/>
        <v>28.375562922191644</v>
      </c>
      <c r="AQ12" s="2">
        <f t="shared" si="12"/>
        <v>20.69622842131599</v>
      </c>
      <c r="AR12" s="2">
        <f t="shared" si="13"/>
        <v>26.51902051538654</v>
      </c>
      <c r="AS12" s="2">
        <f t="shared" si="14"/>
        <v>11.522015618857001</v>
      </c>
      <c r="AT12" s="2">
        <f t="shared" si="15"/>
        <v>6.7088691518638983</v>
      </c>
      <c r="AU12" s="2">
        <f t="shared" si="16"/>
        <v>26.467784767146789</v>
      </c>
      <c r="AV12" s="2">
        <f t="shared" si="17"/>
        <v>3.779389899567533</v>
      </c>
      <c r="AW12" s="2">
        <f t="shared" si="18"/>
        <v>21.422570499303049</v>
      </c>
      <c r="AX12" s="2">
        <f t="shared" si="19"/>
        <v>23.128419528932415</v>
      </c>
      <c r="AY12" s="2">
        <f t="shared" si="20"/>
        <v>8.3664963007970261</v>
      </c>
      <c r="AZ12" s="2">
        <f t="shared" si="21"/>
        <v>25.641985060223739</v>
      </c>
      <c r="BA12" s="2">
        <f t="shared" si="22"/>
        <v>5.6901819221559036</v>
      </c>
      <c r="BB12" s="2">
        <f t="shared" si="23"/>
        <v>8.9120063261732003</v>
      </c>
      <c r="BC12" s="2">
        <f t="shared" si="24"/>
        <v>25.069350226955933</v>
      </c>
      <c r="BD12" s="2">
        <f t="shared" si="25"/>
        <v>5.9192358554630262</v>
      </c>
      <c r="BG12" s="49">
        <v>3</v>
      </c>
      <c r="BH12">
        <v>10</v>
      </c>
      <c r="BI12">
        <v>10</v>
      </c>
      <c r="BJ12">
        <v>3</v>
      </c>
      <c r="BK12">
        <v>4</v>
      </c>
      <c r="BL12">
        <v>5</v>
      </c>
      <c r="BM12">
        <v>10</v>
      </c>
      <c r="BN12">
        <v>10</v>
      </c>
      <c r="BO12">
        <v>10</v>
      </c>
      <c r="BP12">
        <v>10</v>
      </c>
      <c r="BQ12">
        <v>10</v>
      </c>
      <c r="BR12">
        <v>10</v>
      </c>
      <c r="BS12">
        <v>10</v>
      </c>
      <c r="BT12">
        <v>18</v>
      </c>
      <c r="BU12">
        <v>4</v>
      </c>
      <c r="BV12">
        <v>10</v>
      </c>
      <c r="BW12">
        <v>10</v>
      </c>
      <c r="BX12">
        <v>10</v>
      </c>
      <c r="BY12">
        <v>18</v>
      </c>
      <c r="BZ12">
        <v>19</v>
      </c>
      <c r="CA12">
        <v>10</v>
      </c>
      <c r="CC12" s="49">
        <v>3</v>
      </c>
      <c r="CD12">
        <v>0</v>
      </c>
      <c r="CE12">
        <v>0</v>
      </c>
      <c r="CF12">
        <v>0</v>
      </c>
      <c r="CG12">
        <v>915.3568676507382</v>
      </c>
      <c r="CH12">
        <v>186.75094088423461</v>
      </c>
      <c r="CI12">
        <v>0</v>
      </c>
      <c r="CJ12">
        <v>0</v>
      </c>
      <c r="CK12">
        <v>0</v>
      </c>
      <c r="CL12">
        <v>0</v>
      </c>
      <c r="CM12">
        <v>1680.9623172736699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589.0157180385288</v>
      </c>
      <c r="CV12">
        <v>749.34539833446513</v>
      </c>
      <c r="CW12">
        <v>0</v>
      </c>
      <c r="CY12" s="49">
        <v>3</v>
      </c>
      <c r="CZ12">
        <v>0</v>
      </c>
      <c r="DA12">
        <v>0</v>
      </c>
      <c r="DB12">
        <v>0</v>
      </c>
      <c r="DC12">
        <v>925</v>
      </c>
      <c r="DD12">
        <v>201</v>
      </c>
      <c r="DE12">
        <v>0</v>
      </c>
      <c r="DF12">
        <v>0</v>
      </c>
      <c r="DG12">
        <v>0</v>
      </c>
      <c r="DH12">
        <v>0</v>
      </c>
      <c r="DI12">
        <v>1679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602</v>
      </c>
      <c r="DR12">
        <v>761</v>
      </c>
      <c r="DS12">
        <v>0</v>
      </c>
      <c r="DU12" s="49">
        <v>3</v>
      </c>
      <c r="DV12" s="2">
        <f t="shared" si="26"/>
        <v>0</v>
      </c>
      <c r="DW12" s="2">
        <f t="shared" si="27"/>
        <v>0</v>
      </c>
      <c r="DX12" s="2">
        <f t="shared" si="28"/>
        <v>0</v>
      </c>
      <c r="DY12" s="2">
        <f t="shared" si="29"/>
        <v>79180000</v>
      </c>
      <c r="DZ12" s="2">
        <f t="shared" si="30"/>
        <v>17205600</v>
      </c>
      <c r="EA12" s="2">
        <f t="shared" si="31"/>
        <v>0</v>
      </c>
      <c r="EB12" s="2">
        <f t="shared" si="32"/>
        <v>0</v>
      </c>
      <c r="EC12" s="2">
        <f t="shared" si="33"/>
        <v>0</v>
      </c>
      <c r="ED12" s="2">
        <f t="shared" si="34"/>
        <v>0</v>
      </c>
      <c r="EE12" s="2">
        <f t="shared" si="35"/>
        <v>143722400</v>
      </c>
      <c r="EF12" s="2">
        <f t="shared" si="36"/>
        <v>0</v>
      </c>
      <c r="EG12" s="2">
        <f t="shared" si="37"/>
        <v>0</v>
      </c>
      <c r="EH12" s="2">
        <f t="shared" si="38"/>
        <v>0</v>
      </c>
      <c r="EI12" s="2">
        <f t="shared" si="39"/>
        <v>0</v>
      </c>
      <c r="EJ12" s="2">
        <f t="shared" si="40"/>
        <v>0</v>
      </c>
      <c r="EK12" s="2">
        <f t="shared" si="41"/>
        <v>0</v>
      </c>
      <c r="EL12" s="2">
        <f t="shared" si="42"/>
        <v>0</v>
      </c>
      <c r="EM12" s="2">
        <f t="shared" si="43"/>
        <v>51531200</v>
      </c>
      <c r="EN12" s="2">
        <f t="shared" si="44"/>
        <v>65141600</v>
      </c>
      <c r="EO12" s="2">
        <f t="shared" si="45"/>
        <v>0</v>
      </c>
      <c r="EQ12" s="49">
        <v>3</v>
      </c>
      <c r="ER12" s="2">
        <f t="shared" si="46"/>
        <v>0</v>
      </c>
      <c r="ES12" s="2">
        <f t="shared" si="47"/>
        <v>0</v>
      </c>
      <c r="ET12" s="2">
        <f t="shared" si="48"/>
        <v>0</v>
      </c>
      <c r="EU12" s="2">
        <f t="shared" si="49"/>
        <v>79196000</v>
      </c>
      <c r="EV12" s="2">
        <f t="shared" si="50"/>
        <v>17221600</v>
      </c>
      <c r="EW12" s="2">
        <f t="shared" si="51"/>
        <v>0</v>
      </c>
      <c r="EX12" s="2">
        <f t="shared" si="52"/>
        <v>0</v>
      </c>
      <c r="EY12" s="2">
        <f t="shared" si="53"/>
        <v>0</v>
      </c>
      <c r="EZ12" s="2">
        <f t="shared" si="54"/>
        <v>0</v>
      </c>
      <c r="FA12" s="2">
        <f t="shared" si="55"/>
        <v>143738400</v>
      </c>
      <c r="FB12" s="2">
        <f t="shared" si="56"/>
        <v>0</v>
      </c>
      <c r="FC12" s="2">
        <f t="shared" si="57"/>
        <v>0</v>
      </c>
      <c r="FD12" s="2">
        <f t="shared" si="58"/>
        <v>0</v>
      </c>
      <c r="FE12" s="2">
        <f t="shared" si="59"/>
        <v>0</v>
      </c>
      <c r="FF12" s="2">
        <f t="shared" si="60"/>
        <v>0</v>
      </c>
      <c r="FG12" s="2">
        <f t="shared" si="61"/>
        <v>0</v>
      </c>
      <c r="FH12" s="2">
        <f t="shared" si="62"/>
        <v>0</v>
      </c>
      <c r="FI12" s="2">
        <f t="shared" si="63"/>
        <v>51547200</v>
      </c>
      <c r="FJ12" s="2">
        <f t="shared" si="64"/>
        <v>65157600</v>
      </c>
      <c r="FK12" s="2">
        <f t="shared" si="65"/>
        <v>0</v>
      </c>
    </row>
    <row r="13" spans="1:167" x14ac:dyDescent="0.3">
      <c r="A13" s="9">
        <v>5</v>
      </c>
      <c r="B13" s="11">
        <v>2993</v>
      </c>
      <c r="D13" s="29">
        <v>2.6743271739518924E-2</v>
      </c>
      <c r="G13" s="18">
        <v>5</v>
      </c>
      <c r="H13" s="15"/>
      <c r="I13" s="2"/>
      <c r="J13" s="2">
        <v>22.928458452224731</v>
      </c>
      <c r="K13" s="2"/>
      <c r="L13" s="2">
        <v>0</v>
      </c>
      <c r="M13" s="2">
        <v>76.144033670425415</v>
      </c>
      <c r="N13" s="2">
        <v>27.090126276016235</v>
      </c>
      <c r="O13" s="2"/>
      <c r="P13" s="2">
        <v>85.773998498916626</v>
      </c>
      <c r="Q13" s="2">
        <v>45.171934366226196</v>
      </c>
      <c r="R13" s="2"/>
      <c r="S13" s="2"/>
      <c r="T13" s="2"/>
      <c r="U13" s="2">
        <v>58.755499124526978</v>
      </c>
      <c r="V13" s="2">
        <v>16.549736261367798</v>
      </c>
      <c r="W13" s="2">
        <v>45.732218027114868</v>
      </c>
      <c r="X13" s="2">
        <v>33.851772546768188</v>
      </c>
      <c r="Y13" s="2">
        <v>70.019727945327759</v>
      </c>
      <c r="Z13" s="2">
        <v>94.909912347793579</v>
      </c>
      <c r="AA13" s="2"/>
      <c r="AC13" s="39">
        <f t="shared" si="1"/>
        <v>576.92741751670837</v>
      </c>
      <c r="AD13" s="2">
        <f t="shared" si="2"/>
        <v>11</v>
      </c>
      <c r="AF13" s="2">
        <v>8</v>
      </c>
      <c r="AG13" s="2">
        <f t="shared" si="0"/>
        <v>879.90000000000009</v>
      </c>
      <c r="AJ13" s="49">
        <v>4</v>
      </c>
      <c r="AK13" s="2">
        <f t="shared" si="6"/>
        <v>53.612974016226467</v>
      </c>
      <c r="AL13" s="2">
        <f t="shared" si="7"/>
        <v>61.834904749991082</v>
      </c>
      <c r="AM13" s="2">
        <f t="shared" si="8"/>
        <v>28.041023624861506</v>
      </c>
      <c r="AN13" s="2">
        <f t="shared" si="9"/>
        <v>77.347667893777498</v>
      </c>
      <c r="AO13" s="2">
        <f t="shared" si="10"/>
        <v>24.881940026448408</v>
      </c>
      <c r="AP13" s="2">
        <f t="shared" si="11"/>
        <v>78.270452839629726</v>
      </c>
      <c r="AQ13" s="2">
        <f t="shared" si="12"/>
        <v>57.087965974480873</v>
      </c>
      <c r="AR13" s="2">
        <f t="shared" si="13"/>
        <v>73.149412059044295</v>
      </c>
      <c r="AS13" s="2">
        <f t="shared" si="14"/>
        <v>31.782043675613856</v>
      </c>
      <c r="AT13" s="2">
        <f t="shared" si="15"/>
        <v>18.505579184388292</v>
      </c>
      <c r="AU13" s="2">
        <f t="shared" si="16"/>
        <v>73.008084634904762</v>
      </c>
      <c r="AV13" s="2">
        <f t="shared" si="17"/>
        <v>10.424975874763216</v>
      </c>
      <c r="AW13" s="2">
        <f t="shared" si="18"/>
        <v>59.091490046106017</v>
      </c>
      <c r="AX13" s="2">
        <f t="shared" si="19"/>
        <v>63.796861932163416</v>
      </c>
      <c r="AY13" s="2">
        <f t="shared" si="20"/>
        <v>23.077937024196721</v>
      </c>
      <c r="AZ13" s="2">
        <f t="shared" si="21"/>
        <v>70.730219092891105</v>
      </c>
      <c r="BA13" s="2">
        <f t="shared" si="22"/>
        <v>15.695657457378751</v>
      </c>
      <c r="BB13" s="2">
        <f t="shared" si="23"/>
        <v>24.582658422388221</v>
      </c>
      <c r="BC13" s="2">
        <f t="shared" si="24"/>
        <v>69.150677293684566</v>
      </c>
      <c r="BD13" s="2">
        <f t="shared" si="25"/>
        <v>16.327474177061369</v>
      </c>
      <c r="BG13" s="49">
        <v>4</v>
      </c>
      <c r="BH13">
        <v>3</v>
      </c>
      <c r="BI13">
        <v>3</v>
      </c>
      <c r="BJ13">
        <v>3</v>
      </c>
      <c r="BK13">
        <v>4</v>
      </c>
      <c r="BL13">
        <v>3</v>
      </c>
      <c r="BM13">
        <v>3</v>
      </c>
      <c r="BN13">
        <v>3</v>
      </c>
      <c r="BO13">
        <v>3</v>
      </c>
      <c r="BP13">
        <v>3</v>
      </c>
      <c r="BQ13">
        <v>3</v>
      </c>
      <c r="BR13">
        <v>3</v>
      </c>
      <c r="BS13">
        <v>3</v>
      </c>
      <c r="BT13">
        <v>3</v>
      </c>
      <c r="BU13">
        <v>14</v>
      </c>
      <c r="BV13">
        <v>15</v>
      </c>
      <c r="BW13">
        <v>3</v>
      </c>
      <c r="BX13">
        <v>3</v>
      </c>
      <c r="BY13">
        <v>3</v>
      </c>
      <c r="BZ13">
        <v>3</v>
      </c>
      <c r="CA13">
        <v>3</v>
      </c>
      <c r="CC13" s="49">
        <v>4</v>
      </c>
      <c r="CD13">
        <v>0</v>
      </c>
      <c r="CE13">
        <v>0</v>
      </c>
      <c r="CF13">
        <v>915.35686765073831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232.0110297008471</v>
      </c>
      <c r="CR13">
        <v>42.112770292004733</v>
      </c>
      <c r="CS13">
        <v>0</v>
      </c>
      <c r="CT13">
        <v>0</v>
      </c>
      <c r="CU13">
        <v>0</v>
      </c>
      <c r="CV13">
        <v>0</v>
      </c>
      <c r="CW13">
        <v>0</v>
      </c>
      <c r="CY13" s="49">
        <v>4</v>
      </c>
      <c r="CZ13">
        <v>0</v>
      </c>
      <c r="DA13">
        <v>0</v>
      </c>
      <c r="DB13">
        <v>925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247</v>
      </c>
      <c r="DN13">
        <v>52</v>
      </c>
      <c r="DO13">
        <v>0</v>
      </c>
      <c r="DP13">
        <v>0</v>
      </c>
      <c r="DQ13">
        <v>0</v>
      </c>
      <c r="DR13">
        <v>0</v>
      </c>
      <c r="DS13">
        <v>0</v>
      </c>
      <c r="DU13" s="49">
        <v>4</v>
      </c>
      <c r="DV13" s="2">
        <f t="shared" si="26"/>
        <v>0</v>
      </c>
      <c r="DW13" s="2">
        <f t="shared" si="27"/>
        <v>0</v>
      </c>
      <c r="DX13" s="2">
        <f t="shared" si="28"/>
        <v>79180000</v>
      </c>
      <c r="DY13" s="2">
        <f t="shared" si="29"/>
        <v>0</v>
      </c>
      <c r="DZ13" s="2">
        <f t="shared" si="30"/>
        <v>0</v>
      </c>
      <c r="EA13" s="2">
        <f t="shared" si="31"/>
        <v>0</v>
      </c>
      <c r="EB13" s="2">
        <f t="shared" si="32"/>
        <v>0</v>
      </c>
      <c r="EC13" s="2">
        <f t="shared" si="33"/>
        <v>0</v>
      </c>
      <c r="ED13" s="2">
        <f t="shared" si="34"/>
        <v>0</v>
      </c>
      <c r="EE13" s="2">
        <f t="shared" si="35"/>
        <v>0</v>
      </c>
      <c r="EF13" s="2">
        <f t="shared" si="36"/>
        <v>0</v>
      </c>
      <c r="EG13" s="2">
        <f t="shared" si="37"/>
        <v>0</v>
      </c>
      <c r="EH13" s="2">
        <f t="shared" si="38"/>
        <v>0</v>
      </c>
      <c r="EI13" s="2">
        <f t="shared" si="39"/>
        <v>21143200</v>
      </c>
      <c r="EJ13" s="2">
        <f t="shared" si="40"/>
        <v>4451200</v>
      </c>
      <c r="EK13" s="2">
        <f t="shared" si="41"/>
        <v>0</v>
      </c>
      <c r="EL13" s="2">
        <f t="shared" si="42"/>
        <v>0</v>
      </c>
      <c r="EM13" s="2">
        <f t="shared" si="43"/>
        <v>0</v>
      </c>
      <c r="EN13" s="2">
        <f t="shared" si="44"/>
        <v>0</v>
      </c>
      <c r="EO13" s="2">
        <f t="shared" si="45"/>
        <v>0</v>
      </c>
      <c r="EQ13" s="49">
        <v>4</v>
      </c>
      <c r="ER13" s="2">
        <f t="shared" si="46"/>
        <v>0</v>
      </c>
      <c r="ES13" s="2">
        <f t="shared" si="47"/>
        <v>0</v>
      </c>
      <c r="ET13" s="2">
        <f t="shared" si="48"/>
        <v>79196000</v>
      </c>
      <c r="EU13" s="2">
        <f t="shared" si="49"/>
        <v>0</v>
      </c>
      <c r="EV13" s="2">
        <f t="shared" si="50"/>
        <v>0</v>
      </c>
      <c r="EW13" s="2">
        <f t="shared" si="51"/>
        <v>0</v>
      </c>
      <c r="EX13" s="2">
        <f t="shared" si="52"/>
        <v>0</v>
      </c>
      <c r="EY13" s="2">
        <f t="shared" si="53"/>
        <v>0</v>
      </c>
      <c r="EZ13" s="2">
        <f t="shared" si="54"/>
        <v>0</v>
      </c>
      <c r="FA13" s="2">
        <f t="shared" si="55"/>
        <v>0</v>
      </c>
      <c r="FB13" s="2">
        <f t="shared" si="56"/>
        <v>0</v>
      </c>
      <c r="FC13" s="2">
        <f t="shared" si="57"/>
        <v>0</v>
      </c>
      <c r="FD13" s="2">
        <f t="shared" si="58"/>
        <v>0</v>
      </c>
      <c r="FE13" s="2">
        <f t="shared" si="59"/>
        <v>21159200</v>
      </c>
      <c r="FF13" s="2">
        <f t="shared" si="60"/>
        <v>4467200</v>
      </c>
      <c r="FG13" s="2">
        <f t="shared" si="61"/>
        <v>0</v>
      </c>
      <c r="FH13" s="2">
        <f t="shared" si="62"/>
        <v>0</v>
      </c>
      <c r="FI13" s="2">
        <f t="shared" si="63"/>
        <v>0</v>
      </c>
      <c r="FJ13" s="2">
        <f t="shared" si="64"/>
        <v>0</v>
      </c>
      <c r="FK13" s="2">
        <f t="shared" si="65"/>
        <v>0</v>
      </c>
    </row>
    <row r="14" spans="1:167" x14ac:dyDescent="0.3">
      <c r="A14" s="9">
        <v>6</v>
      </c>
      <c r="B14" s="11">
        <v>9415</v>
      </c>
      <c r="D14" s="29">
        <v>8.4125594195646733E-2</v>
      </c>
      <c r="G14" s="18">
        <v>6</v>
      </c>
      <c r="H14" s="15"/>
      <c r="I14" s="2"/>
      <c r="J14" s="2"/>
      <c r="K14" s="2"/>
      <c r="L14" s="2">
        <v>76.144033670425415</v>
      </c>
      <c r="M14" s="2">
        <v>0</v>
      </c>
      <c r="N14" s="2">
        <v>39.597386121749878</v>
      </c>
      <c r="O14" s="2"/>
      <c r="P14" s="2"/>
      <c r="Q14" s="2">
        <v>12.392252683639526</v>
      </c>
      <c r="R14" s="2"/>
      <c r="S14" s="2"/>
      <c r="T14" s="2">
        <v>8.7970435619354248</v>
      </c>
      <c r="U14" s="2"/>
      <c r="V14" s="2">
        <v>17.39012598991394</v>
      </c>
      <c r="W14" s="2"/>
      <c r="X14" s="2"/>
      <c r="Y14" s="2">
        <v>83.678644895553589</v>
      </c>
      <c r="Z14" s="2">
        <v>83.959835767745972</v>
      </c>
      <c r="AA14" s="2">
        <v>3.4930408000946045</v>
      </c>
      <c r="AC14" s="39">
        <f t="shared" si="1"/>
        <v>325.45236349105835</v>
      </c>
      <c r="AD14" s="2">
        <f t="shared" si="2"/>
        <v>8</v>
      </c>
      <c r="AF14" s="2">
        <v>9</v>
      </c>
      <c r="AG14" s="2">
        <f t="shared" si="0"/>
        <v>382.3</v>
      </c>
      <c r="AJ14" s="49">
        <v>5</v>
      </c>
      <c r="AK14" s="2">
        <f t="shared" si="6"/>
        <v>17.246735944815757</v>
      </c>
      <c r="AL14" s="2">
        <f t="shared" si="7"/>
        <v>19.89164551985418</v>
      </c>
      <c r="AM14" s="2">
        <f t="shared" si="8"/>
        <v>9.0205055577397335</v>
      </c>
      <c r="AN14" s="2">
        <f t="shared" si="9"/>
        <v>24.881940026448412</v>
      </c>
      <c r="AO14" s="2">
        <f t="shared" si="10"/>
        <v>8.0042612316380151</v>
      </c>
      <c r="AP14" s="2">
        <f t="shared" si="11"/>
        <v>25.178790342757068</v>
      </c>
      <c r="AQ14" s="2">
        <f t="shared" si="12"/>
        <v>18.364604703527647</v>
      </c>
      <c r="AR14" s="2">
        <f t="shared" si="13"/>
        <v>23.531404803602705</v>
      </c>
      <c r="AS14" s="2">
        <f t="shared" si="14"/>
        <v>10.223952786018085</v>
      </c>
      <c r="AT14" s="2">
        <f t="shared" si="15"/>
        <v>5.9530522892169131</v>
      </c>
      <c r="AU14" s="2">
        <f t="shared" si="16"/>
        <v>23.48594124164552</v>
      </c>
      <c r="AV14" s="2">
        <f t="shared" si="17"/>
        <v>3.3536062761356735</v>
      </c>
      <c r="AW14" s="2">
        <f t="shared" si="18"/>
        <v>19.009117552450054</v>
      </c>
      <c r="AX14" s="2">
        <f t="shared" si="19"/>
        <v>20.522786732906827</v>
      </c>
      <c r="AY14" s="2">
        <f t="shared" si="20"/>
        <v>7.4239322348904544</v>
      </c>
      <c r="AZ14" s="2">
        <f t="shared" si="21"/>
        <v>22.7531755959827</v>
      </c>
      <c r="BA14" s="2">
        <f t="shared" si="22"/>
        <v>5.0491297044211736</v>
      </c>
      <c r="BB14" s="2">
        <f t="shared" si="23"/>
        <v>7.9079854533757459</v>
      </c>
      <c r="BC14" s="2">
        <f t="shared" si="24"/>
        <v>22.245053432931844</v>
      </c>
      <c r="BD14" s="2">
        <f t="shared" si="25"/>
        <v>5.2523785696415173</v>
      </c>
      <c r="BG14" s="49">
        <v>5</v>
      </c>
      <c r="BH14">
        <v>3</v>
      </c>
      <c r="BI14">
        <v>3</v>
      </c>
      <c r="BJ14">
        <v>3</v>
      </c>
      <c r="BK14">
        <v>3</v>
      </c>
      <c r="BL14">
        <v>5</v>
      </c>
      <c r="BM14">
        <v>15</v>
      </c>
      <c r="BN14">
        <v>7</v>
      </c>
      <c r="BO14">
        <v>3</v>
      </c>
      <c r="BP14">
        <v>3</v>
      </c>
      <c r="BQ14">
        <v>3</v>
      </c>
      <c r="BR14">
        <v>3</v>
      </c>
      <c r="BS14">
        <v>3</v>
      </c>
      <c r="BT14">
        <v>3</v>
      </c>
      <c r="BU14">
        <v>14</v>
      </c>
      <c r="BV14">
        <v>15</v>
      </c>
      <c r="BW14">
        <v>16</v>
      </c>
      <c r="BX14">
        <v>17</v>
      </c>
      <c r="BY14">
        <v>3</v>
      </c>
      <c r="BZ14">
        <v>3</v>
      </c>
      <c r="CA14">
        <v>7</v>
      </c>
      <c r="CC14" s="49">
        <v>5</v>
      </c>
      <c r="CD14">
        <v>0</v>
      </c>
      <c r="CE14">
        <v>0</v>
      </c>
      <c r="CF14">
        <v>186.75094088423461</v>
      </c>
      <c r="CG14">
        <v>0</v>
      </c>
      <c r="CH14">
        <v>0</v>
      </c>
      <c r="CI14">
        <v>0</v>
      </c>
      <c r="CJ14">
        <v>23.616983273169161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20.52278673290683</v>
      </c>
      <c r="CR14">
        <v>32.602722577647533</v>
      </c>
      <c r="CS14">
        <v>22.7531755959827</v>
      </c>
      <c r="CT14">
        <v>5.0491297044211736</v>
      </c>
      <c r="CU14">
        <v>0</v>
      </c>
      <c r="CV14">
        <v>0</v>
      </c>
      <c r="CW14">
        <v>0</v>
      </c>
      <c r="CY14" s="49">
        <v>5</v>
      </c>
      <c r="CZ14">
        <v>0</v>
      </c>
      <c r="DA14">
        <v>0</v>
      </c>
      <c r="DB14">
        <v>201</v>
      </c>
      <c r="DC14">
        <v>0</v>
      </c>
      <c r="DD14">
        <v>0</v>
      </c>
      <c r="DE14">
        <v>0</v>
      </c>
      <c r="DF14">
        <v>32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29</v>
      </c>
      <c r="DN14">
        <v>42</v>
      </c>
      <c r="DO14">
        <v>31</v>
      </c>
      <c r="DP14">
        <v>10</v>
      </c>
      <c r="DQ14">
        <v>0</v>
      </c>
      <c r="DR14">
        <v>0</v>
      </c>
      <c r="DS14">
        <v>0</v>
      </c>
      <c r="DU14" s="49">
        <v>5</v>
      </c>
      <c r="DV14" s="2">
        <f t="shared" si="26"/>
        <v>0</v>
      </c>
      <c r="DW14" s="2">
        <f t="shared" si="27"/>
        <v>0</v>
      </c>
      <c r="DX14" s="2">
        <f t="shared" si="28"/>
        <v>17205600</v>
      </c>
      <c r="DY14" s="2">
        <f t="shared" si="29"/>
        <v>0</v>
      </c>
      <c r="DZ14" s="2">
        <f t="shared" si="30"/>
        <v>0</v>
      </c>
      <c r="EA14" s="2">
        <f t="shared" si="31"/>
        <v>0</v>
      </c>
      <c r="EB14" s="2">
        <f t="shared" si="32"/>
        <v>2739200</v>
      </c>
      <c r="EC14" s="2">
        <f t="shared" si="33"/>
        <v>0</v>
      </c>
      <c r="ED14" s="2">
        <f t="shared" si="34"/>
        <v>0</v>
      </c>
      <c r="EE14" s="2">
        <f t="shared" si="35"/>
        <v>0</v>
      </c>
      <c r="EF14" s="2">
        <f t="shared" si="36"/>
        <v>0</v>
      </c>
      <c r="EG14" s="2">
        <f t="shared" si="37"/>
        <v>0</v>
      </c>
      <c r="EH14" s="2">
        <f t="shared" si="38"/>
        <v>0</v>
      </c>
      <c r="EI14" s="2">
        <f t="shared" si="39"/>
        <v>2482400</v>
      </c>
      <c r="EJ14" s="2">
        <f t="shared" si="40"/>
        <v>3595200</v>
      </c>
      <c r="EK14" s="2">
        <f t="shared" si="41"/>
        <v>2653600</v>
      </c>
      <c r="EL14" s="2">
        <f t="shared" si="42"/>
        <v>856000</v>
      </c>
      <c r="EM14" s="2">
        <f t="shared" si="43"/>
        <v>0</v>
      </c>
      <c r="EN14" s="2">
        <f t="shared" si="44"/>
        <v>0</v>
      </c>
      <c r="EO14" s="2">
        <f t="shared" si="45"/>
        <v>0</v>
      </c>
      <c r="EQ14" s="49">
        <v>5</v>
      </c>
      <c r="ER14" s="2">
        <f t="shared" si="46"/>
        <v>0</v>
      </c>
      <c r="ES14" s="2">
        <f t="shared" si="47"/>
        <v>0</v>
      </c>
      <c r="ET14" s="2">
        <f t="shared" si="48"/>
        <v>17221600</v>
      </c>
      <c r="EU14" s="2">
        <f t="shared" si="49"/>
        <v>0</v>
      </c>
      <c r="EV14" s="2">
        <f t="shared" si="50"/>
        <v>0</v>
      </c>
      <c r="EW14" s="2">
        <f t="shared" si="51"/>
        <v>0</v>
      </c>
      <c r="EX14" s="2">
        <f t="shared" si="52"/>
        <v>2755200</v>
      </c>
      <c r="EY14" s="2">
        <f t="shared" si="53"/>
        <v>0</v>
      </c>
      <c r="EZ14" s="2">
        <f t="shared" si="54"/>
        <v>0</v>
      </c>
      <c r="FA14" s="2">
        <f t="shared" si="55"/>
        <v>0</v>
      </c>
      <c r="FB14" s="2">
        <f t="shared" si="56"/>
        <v>0</v>
      </c>
      <c r="FC14" s="2">
        <f t="shared" si="57"/>
        <v>0</v>
      </c>
      <c r="FD14" s="2">
        <f t="shared" si="58"/>
        <v>0</v>
      </c>
      <c r="FE14" s="2">
        <f t="shared" si="59"/>
        <v>2498400</v>
      </c>
      <c r="FF14" s="2">
        <f t="shared" si="60"/>
        <v>3611200</v>
      </c>
      <c r="FG14" s="2">
        <f t="shared" si="61"/>
        <v>2669600</v>
      </c>
      <c r="FH14" s="2">
        <f t="shared" si="62"/>
        <v>872000</v>
      </c>
      <c r="FI14" s="2">
        <f t="shared" si="63"/>
        <v>0</v>
      </c>
      <c r="FJ14" s="2">
        <f t="shared" si="64"/>
        <v>0</v>
      </c>
      <c r="FK14" s="2">
        <f t="shared" si="65"/>
        <v>0</v>
      </c>
    </row>
    <row r="15" spans="1:167" x14ac:dyDescent="0.3">
      <c r="A15" s="9">
        <v>7</v>
      </c>
      <c r="B15" s="11">
        <v>6867</v>
      </c>
      <c r="D15" s="29">
        <v>6.1358518889166873E-2</v>
      </c>
      <c r="G15" s="18">
        <v>7</v>
      </c>
      <c r="H15" s="15">
        <v>80.135160684585571</v>
      </c>
      <c r="I15" s="2">
        <v>87.998789548873901</v>
      </c>
      <c r="J15" s="2">
        <v>45.026332139968872</v>
      </c>
      <c r="K15" s="2">
        <v>84.568160772323608</v>
      </c>
      <c r="L15" s="2">
        <v>27.090126276016235</v>
      </c>
      <c r="M15" s="2">
        <v>39.597386121749878</v>
      </c>
      <c r="N15" s="2">
        <v>0</v>
      </c>
      <c r="O15" s="2"/>
      <c r="P15" s="2"/>
      <c r="Q15" s="2">
        <v>16.130000352859497</v>
      </c>
      <c r="R15" s="2"/>
      <c r="S15" s="2"/>
      <c r="T15" s="2">
        <v>64.925462007522583</v>
      </c>
      <c r="U15" s="2">
        <v>95.304995775222778</v>
      </c>
      <c r="V15" s="2">
        <v>24.489766359329224</v>
      </c>
      <c r="W15" s="2">
        <v>67.372351884841919</v>
      </c>
      <c r="X15" s="2">
        <v>15.407830476760864</v>
      </c>
      <c r="Y15" s="2">
        <v>86.61378026008606</v>
      </c>
      <c r="Z15" s="2"/>
      <c r="AA15" s="2">
        <v>3.4199059009552002</v>
      </c>
      <c r="AC15" s="39">
        <f t="shared" si="1"/>
        <v>738.08004856109619</v>
      </c>
      <c r="AD15" s="2">
        <f t="shared" si="2"/>
        <v>14</v>
      </c>
      <c r="AF15" s="2">
        <v>10</v>
      </c>
      <c r="AG15" s="2">
        <f t="shared" si="0"/>
        <v>222.60000000000002</v>
      </c>
      <c r="AJ15" s="49">
        <v>6</v>
      </c>
      <c r="AK15" s="2">
        <f t="shared" si="6"/>
        <v>54.25259569677258</v>
      </c>
      <c r="AL15" s="2">
        <f t="shared" si="7"/>
        <v>62.572616962722051</v>
      </c>
      <c r="AM15" s="2">
        <f t="shared" si="8"/>
        <v>28.375562922191644</v>
      </c>
      <c r="AN15" s="2">
        <f t="shared" si="9"/>
        <v>78.270452839629726</v>
      </c>
      <c r="AO15" s="2">
        <f t="shared" si="10"/>
        <v>25.178790342757068</v>
      </c>
      <c r="AP15" s="2">
        <f t="shared" si="11"/>
        <v>79.204246935201397</v>
      </c>
      <c r="AQ15" s="2">
        <f t="shared" si="12"/>
        <v>57.769045534150621</v>
      </c>
      <c r="AR15" s="2">
        <f t="shared" si="13"/>
        <v>74.022110332749563</v>
      </c>
      <c r="AS15" s="2">
        <f t="shared" si="14"/>
        <v>32.161214660995746</v>
      </c>
      <c r="AT15" s="2">
        <f t="shared" si="15"/>
        <v>18.726357267950963</v>
      </c>
      <c r="AU15" s="2">
        <f t="shared" si="16"/>
        <v>73.879096822616958</v>
      </c>
      <c r="AV15" s="2">
        <f t="shared" si="17"/>
        <v>10.549349512134102</v>
      </c>
      <c r="AW15" s="2">
        <f t="shared" si="18"/>
        <v>59.796472354265703</v>
      </c>
      <c r="AX15" s="2">
        <f t="shared" si="19"/>
        <v>64.557980985739306</v>
      </c>
      <c r="AY15" s="2">
        <f t="shared" si="20"/>
        <v>23.353264948711534</v>
      </c>
      <c r="AZ15" s="2">
        <f t="shared" si="21"/>
        <v>71.574055541656236</v>
      </c>
      <c r="BA15" s="2">
        <f t="shared" si="22"/>
        <v>15.882912184138105</v>
      </c>
      <c r="BB15" s="2">
        <f t="shared" si="23"/>
        <v>24.875938203652737</v>
      </c>
      <c r="BC15" s="2">
        <f t="shared" si="24"/>
        <v>69.975669251938953</v>
      </c>
      <c r="BD15" s="2">
        <f t="shared" si="25"/>
        <v>16.522266700025021</v>
      </c>
      <c r="BG15" s="49">
        <v>6</v>
      </c>
      <c r="BH15">
        <v>10</v>
      </c>
      <c r="BI15">
        <v>10</v>
      </c>
      <c r="BJ15">
        <v>10</v>
      </c>
      <c r="BK15">
        <v>10</v>
      </c>
      <c r="BL15">
        <v>15</v>
      </c>
      <c r="BM15">
        <v>6</v>
      </c>
      <c r="BN15">
        <v>20</v>
      </c>
      <c r="BO15">
        <v>10</v>
      </c>
      <c r="BP15">
        <v>10</v>
      </c>
      <c r="BQ15">
        <v>10</v>
      </c>
      <c r="BR15">
        <v>10</v>
      </c>
      <c r="BS15">
        <v>10</v>
      </c>
      <c r="BT15">
        <v>13</v>
      </c>
      <c r="BU15">
        <v>10</v>
      </c>
      <c r="BV15">
        <v>15</v>
      </c>
      <c r="BW15">
        <v>10</v>
      </c>
      <c r="BX15">
        <v>20</v>
      </c>
      <c r="BY15">
        <v>13</v>
      </c>
      <c r="BZ15">
        <v>10</v>
      </c>
      <c r="CA15">
        <v>20</v>
      </c>
      <c r="CC15" s="49">
        <v>6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727.33061224489791</v>
      </c>
      <c r="CN15">
        <v>0</v>
      </c>
      <c r="CO15">
        <v>0</v>
      </c>
      <c r="CP15">
        <v>189.0582490439258</v>
      </c>
      <c r="CQ15">
        <v>0</v>
      </c>
      <c r="CR15">
        <v>117.08374763215269</v>
      </c>
      <c r="CS15">
        <v>0</v>
      </c>
      <c r="CT15">
        <v>0</v>
      </c>
      <c r="CU15">
        <v>0</v>
      </c>
      <c r="CV15">
        <v>0</v>
      </c>
      <c r="CW15">
        <v>267.59741591908221</v>
      </c>
      <c r="CY15" s="49">
        <v>6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739</v>
      </c>
      <c r="DJ15">
        <v>0</v>
      </c>
      <c r="DK15">
        <v>0</v>
      </c>
      <c r="DL15">
        <v>203</v>
      </c>
      <c r="DM15">
        <v>0</v>
      </c>
      <c r="DN15">
        <v>130</v>
      </c>
      <c r="DO15">
        <v>0</v>
      </c>
      <c r="DP15">
        <v>0</v>
      </c>
      <c r="DQ15">
        <v>0</v>
      </c>
      <c r="DR15">
        <v>0</v>
      </c>
      <c r="DS15">
        <v>282</v>
      </c>
      <c r="DU15" s="49">
        <v>6</v>
      </c>
      <c r="DV15" s="2">
        <f t="shared" si="26"/>
        <v>0</v>
      </c>
      <c r="DW15" s="2">
        <f t="shared" si="27"/>
        <v>0</v>
      </c>
      <c r="DX15" s="2">
        <f t="shared" si="28"/>
        <v>0</v>
      </c>
      <c r="DY15" s="2">
        <f t="shared" si="29"/>
        <v>0</v>
      </c>
      <c r="DZ15" s="2">
        <f t="shared" si="30"/>
        <v>0</v>
      </c>
      <c r="EA15" s="2">
        <f t="shared" si="31"/>
        <v>0</v>
      </c>
      <c r="EB15" s="2">
        <f t="shared" si="32"/>
        <v>0</v>
      </c>
      <c r="EC15" s="2">
        <f t="shared" si="33"/>
        <v>0</v>
      </c>
      <c r="ED15" s="2">
        <f t="shared" si="34"/>
        <v>0</v>
      </c>
      <c r="EE15" s="2">
        <f t="shared" si="35"/>
        <v>63258400</v>
      </c>
      <c r="EF15" s="2">
        <f t="shared" si="36"/>
        <v>0</v>
      </c>
      <c r="EG15" s="2">
        <f t="shared" si="37"/>
        <v>0</v>
      </c>
      <c r="EH15" s="2">
        <f t="shared" si="38"/>
        <v>17376800</v>
      </c>
      <c r="EI15" s="2">
        <f t="shared" si="39"/>
        <v>0</v>
      </c>
      <c r="EJ15" s="2">
        <f t="shared" si="40"/>
        <v>11128000</v>
      </c>
      <c r="EK15" s="2">
        <f t="shared" si="41"/>
        <v>0</v>
      </c>
      <c r="EL15" s="2">
        <f t="shared" si="42"/>
        <v>0</v>
      </c>
      <c r="EM15" s="2">
        <f t="shared" si="43"/>
        <v>0</v>
      </c>
      <c r="EN15" s="2">
        <f t="shared" si="44"/>
        <v>0</v>
      </c>
      <c r="EO15" s="2">
        <f t="shared" si="45"/>
        <v>24139200</v>
      </c>
      <c r="EQ15" s="49">
        <v>6</v>
      </c>
      <c r="ER15" s="2">
        <f t="shared" si="46"/>
        <v>0</v>
      </c>
      <c r="ES15" s="2">
        <f t="shared" si="47"/>
        <v>0</v>
      </c>
      <c r="ET15" s="2">
        <f t="shared" si="48"/>
        <v>0</v>
      </c>
      <c r="EU15" s="2">
        <f t="shared" si="49"/>
        <v>0</v>
      </c>
      <c r="EV15" s="2">
        <f t="shared" si="50"/>
        <v>0</v>
      </c>
      <c r="EW15" s="2">
        <f t="shared" si="51"/>
        <v>0</v>
      </c>
      <c r="EX15" s="2">
        <f t="shared" si="52"/>
        <v>0</v>
      </c>
      <c r="EY15" s="2">
        <f t="shared" si="53"/>
        <v>0</v>
      </c>
      <c r="EZ15" s="2">
        <f t="shared" si="54"/>
        <v>0</v>
      </c>
      <c r="FA15" s="2">
        <f t="shared" si="55"/>
        <v>63274400</v>
      </c>
      <c r="FB15" s="2">
        <f t="shared" si="56"/>
        <v>0</v>
      </c>
      <c r="FC15" s="2">
        <f t="shared" si="57"/>
        <v>0</v>
      </c>
      <c r="FD15" s="2">
        <f t="shared" si="58"/>
        <v>17392800</v>
      </c>
      <c r="FE15" s="2">
        <f t="shared" si="59"/>
        <v>0</v>
      </c>
      <c r="FF15" s="2">
        <f t="shared" si="60"/>
        <v>11144000</v>
      </c>
      <c r="FG15" s="2">
        <f t="shared" si="61"/>
        <v>0</v>
      </c>
      <c r="FH15" s="2">
        <f t="shared" si="62"/>
        <v>0</v>
      </c>
      <c r="FI15" s="2">
        <f t="shared" si="63"/>
        <v>0</v>
      </c>
      <c r="FJ15" s="2">
        <f t="shared" si="64"/>
        <v>0</v>
      </c>
      <c r="FK15" s="2">
        <f t="shared" si="65"/>
        <v>24155200</v>
      </c>
    </row>
    <row r="16" spans="1:167" x14ac:dyDescent="0.3">
      <c r="A16" s="9">
        <v>8</v>
      </c>
      <c r="B16" s="11">
        <v>8799</v>
      </c>
      <c r="D16" s="29">
        <v>7.8621466099574683E-2</v>
      </c>
      <c r="G16" s="18">
        <v>8</v>
      </c>
      <c r="H16" s="15">
        <v>20.125442743301392</v>
      </c>
      <c r="I16" s="2">
        <v>49.180859327316284</v>
      </c>
      <c r="J16" s="2"/>
      <c r="K16" s="2">
        <v>45.979875326156616</v>
      </c>
      <c r="L16" s="2"/>
      <c r="M16" s="2"/>
      <c r="N16" s="2"/>
      <c r="O16" s="2">
        <v>0</v>
      </c>
      <c r="P16" s="2">
        <v>0.84733366966247559</v>
      </c>
      <c r="Q16" s="2">
        <v>88.563674688339233</v>
      </c>
      <c r="R16" s="2"/>
      <c r="S16" s="2"/>
      <c r="T16" s="2"/>
      <c r="U16" s="2"/>
      <c r="V16" s="2">
        <v>34.211724996566772</v>
      </c>
      <c r="W16" s="2">
        <v>26.11202597618103</v>
      </c>
      <c r="X16" s="2">
        <v>55.013364553451538</v>
      </c>
      <c r="Y16" s="2"/>
      <c r="Z16" s="2"/>
      <c r="AA16" s="2"/>
      <c r="AC16" s="39">
        <f t="shared" si="1"/>
        <v>320.03430128097534</v>
      </c>
      <c r="AD16" s="2">
        <f t="shared" si="2"/>
        <v>8</v>
      </c>
      <c r="AF16" s="2">
        <v>11</v>
      </c>
      <c r="AG16" s="2">
        <f t="shared" si="0"/>
        <v>878.2</v>
      </c>
      <c r="AJ16" s="49">
        <v>7</v>
      </c>
      <c r="AK16" s="2">
        <f t="shared" si="6"/>
        <v>39.57010883162372</v>
      </c>
      <c r="AL16" s="2">
        <f t="shared" si="7"/>
        <v>45.638466349762332</v>
      </c>
      <c r="AM16" s="2">
        <f t="shared" si="8"/>
        <v>20.69622842131599</v>
      </c>
      <c r="AN16" s="2">
        <f t="shared" si="9"/>
        <v>57.087965974480873</v>
      </c>
      <c r="AO16" s="2">
        <f t="shared" si="10"/>
        <v>18.364604703527647</v>
      </c>
      <c r="AP16" s="2">
        <f t="shared" si="11"/>
        <v>57.769045534150614</v>
      </c>
      <c r="AQ16" s="2">
        <f t="shared" si="12"/>
        <v>42.134894921190899</v>
      </c>
      <c r="AR16" s="2">
        <f t="shared" si="13"/>
        <v>53.989360770577939</v>
      </c>
      <c r="AS16" s="2">
        <f t="shared" si="14"/>
        <v>23.4573617713285</v>
      </c>
      <c r="AT16" s="2">
        <f t="shared" si="15"/>
        <v>13.658406304728548</v>
      </c>
      <c r="AU16" s="2">
        <f t="shared" si="16"/>
        <v>53.88505128846635</v>
      </c>
      <c r="AV16" s="2">
        <f t="shared" si="17"/>
        <v>7.6943582687015271</v>
      </c>
      <c r="AW16" s="2">
        <f t="shared" si="18"/>
        <v>43.613635226419817</v>
      </c>
      <c r="AX16" s="2">
        <f t="shared" si="19"/>
        <v>47.086527395546668</v>
      </c>
      <c r="AY16" s="2">
        <f t="shared" si="20"/>
        <v>17.033124843632727</v>
      </c>
      <c r="AZ16" s="2">
        <f t="shared" si="21"/>
        <v>52.203827870903183</v>
      </c>
      <c r="BA16" s="2">
        <f t="shared" si="22"/>
        <v>11.584488366274707</v>
      </c>
      <c r="BB16" s="2">
        <f t="shared" si="23"/>
        <v>18.143714035526646</v>
      </c>
      <c r="BC16" s="2">
        <f t="shared" si="24"/>
        <v>51.038016012009017</v>
      </c>
      <c r="BD16" s="2">
        <f t="shared" si="25"/>
        <v>12.050813109832376</v>
      </c>
      <c r="BG16" s="49">
        <v>7</v>
      </c>
      <c r="BH16">
        <v>20</v>
      </c>
      <c r="BI16">
        <v>10</v>
      </c>
      <c r="BJ16">
        <v>10</v>
      </c>
      <c r="BK16">
        <v>10</v>
      </c>
      <c r="BL16">
        <v>5</v>
      </c>
      <c r="BM16">
        <v>20</v>
      </c>
      <c r="BN16">
        <v>7</v>
      </c>
      <c r="BO16">
        <v>20</v>
      </c>
      <c r="BP16">
        <v>20</v>
      </c>
      <c r="BQ16">
        <v>10</v>
      </c>
      <c r="BR16">
        <v>10</v>
      </c>
      <c r="BS16">
        <v>10</v>
      </c>
      <c r="BT16">
        <v>20</v>
      </c>
      <c r="BU16">
        <v>20</v>
      </c>
      <c r="BV16">
        <v>20</v>
      </c>
      <c r="BW16">
        <v>20</v>
      </c>
      <c r="BX16">
        <v>17</v>
      </c>
      <c r="BY16">
        <v>20</v>
      </c>
      <c r="BZ16">
        <v>10</v>
      </c>
      <c r="CA16">
        <v>20</v>
      </c>
      <c r="CC16" s="49">
        <v>7</v>
      </c>
      <c r="CD16">
        <v>0</v>
      </c>
      <c r="CE16">
        <v>0</v>
      </c>
      <c r="CF16">
        <v>0</v>
      </c>
      <c r="CG16">
        <v>0</v>
      </c>
      <c r="CH16">
        <v>23.616983273169161</v>
      </c>
      <c r="CI16">
        <v>0</v>
      </c>
      <c r="CJ16">
        <v>0</v>
      </c>
      <c r="CK16">
        <v>0</v>
      </c>
      <c r="CL16">
        <v>0</v>
      </c>
      <c r="CM16">
        <v>305.80237052789602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136.6858286572072</v>
      </c>
      <c r="CU16">
        <v>0</v>
      </c>
      <c r="CV16">
        <v>0</v>
      </c>
      <c r="CW16">
        <v>439.16736034168491</v>
      </c>
      <c r="CY16" s="49">
        <v>7</v>
      </c>
      <c r="CZ16">
        <v>0</v>
      </c>
      <c r="DA16">
        <v>0</v>
      </c>
      <c r="DB16">
        <v>0</v>
      </c>
      <c r="DC16">
        <v>0</v>
      </c>
      <c r="DD16">
        <v>32</v>
      </c>
      <c r="DE16">
        <v>0</v>
      </c>
      <c r="DF16">
        <v>0</v>
      </c>
      <c r="DG16">
        <v>0</v>
      </c>
      <c r="DH16">
        <v>0</v>
      </c>
      <c r="DI16">
        <v>321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150</v>
      </c>
      <c r="DQ16">
        <v>0</v>
      </c>
      <c r="DR16">
        <v>0</v>
      </c>
      <c r="DS16">
        <v>454</v>
      </c>
      <c r="DU16" s="49">
        <v>7</v>
      </c>
      <c r="DV16" s="2">
        <f t="shared" si="26"/>
        <v>0</v>
      </c>
      <c r="DW16" s="2">
        <f t="shared" si="27"/>
        <v>0</v>
      </c>
      <c r="DX16" s="2">
        <f t="shared" si="28"/>
        <v>0</v>
      </c>
      <c r="DY16" s="2">
        <f t="shared" si="29"/>
        <v>0</v>
      </c>
      <c r="DZ16" s="2">
        <f t="shared" si="30"/>
        <v>2739200</v>
      </c>
      <c r="EA16" s="2">
        <f t="shared" si="31"/>
        <v>0</v>
      </c>
      <c r="EB16" s="2">
        <f t="shared" si="32"/>
        <v>0</v>
      </c>
      <c r="EC16" s="2">
        <f t="shared" si="33"/>
        <v>0</v>
      </c>
      <c r="ED16" s="2">
        <f t="shared" si="34"/>
        <v>0</v>
      </c>
      <c r="EE16" s="2">
        <f t="shared" si="35"/>
        <v>27477600</v>
      </c>
      <c r="EF16" s="2">
        <f t="shared" si="36"/>
        <v>0</v>
      </c>
      <c r="EG16" s="2">
        <f t="shared" si="37"/>
        <v>0</v>
      </c>
      <c r="EH16" s="2">
        <f t="shared" si="38"/>
        <v>0</v>
      </c>
      <c r="EI16" s="2">
        <f t="shared" si="39"/>
        <v>0</v>
      </c>
      <c r="EJ16" s="2">
        <f t="shared" si="40"/>
        <v>0</v>
      </c>
      <c r="EK16" s="2">
        <f t="shared" si="41"/>
        <v>0</v>
      </c>
      <c r="EL16" s="2">
        <f t="shared" si="42"/>
        <v>12840000</v>
      </c>
      <c r="EM16" s="2">
        <f t="shared" si="43"/>
        <v>0</v>
      </c>
      <c r="EN16" s="2">
        <f t="shared" si="44"/>
        <v>0</v>
      </c>
      <c r="EO16" s="2">
        <f t="shared" si="45"/>
        <v>38862400</v>
      </c>
      <c r="EQ16" s="49">
        <v>7</v>
      </c>
      <c r="ER16" s="2">
        <f t="shared" si="46"/>
        <v>0</v>
      </c>
      <c r="ES16" s="2">
        <f t="shared" si="47"/>
        <v>0</v>
      </c>
      <c r="ET16" s="2">
        <f t="shared" si="48"/>
        <v>0</v>
      </c>
      <c r="EU16" s="2">
        <f t="shared" si="49"/>
        <v>0</v>
      </c>
      <c r="EV16" s="2">
        <f t="shared" si="50"/>
        <v>2755200</v>
      </c>
      <c r="EW16" s="2">
        <f t="shared" si="51"/>
        <v>0</v>
      </c>
      <c r="EX16" s="2">
        <f t="shared" si="52"/>
        <v>0</v>
      </c>
      <c r="EY16" s="2">
        <f t="shared" si="53"/>
        <v>0</v>
      </c>
      <c r="EZ16" s="2">
        <f t="shared" si="54"/>
        <v>0</v>
      </c>
      <c r="FA16" s="2">
        <f t="shared" si="55"/>
        <v>27493600</v>
      </c>
      <c r="FB16" s="2">
        <f t="shared" si="56"/>
        <v>0</v>
      </c>
      <c r="FC16" s="2">
        <f t="shared" si="57"/>
        <v>0</v>
      </c>
      <c r="FD16" s="2">
        <f t="shared" si="58"/>
        <v>0</v>
      </c>
      <c r="FE16" s="2">
        <f t="shared" si="59"/>
        <v>0</v>
      </c>
      <c r="FF16" s="2">
        <f t="shared" si="60"/>
        <v>0</v>
      </c>
      <c r="FG16" s="2">
        <f t="shared" si="61"/>
        <v>0</v>
      </c>
      <c r="FH16" s="2">
        <f t="shared" si="62"/>
        <v>12856000</v>
      </c>
      <c r="FI16" s="2">
        <f t="shared" si="63"/>
        <v>0</v>
      </c>
      <c r="FJ16" s="2">
        <f t="shared" si="64"/>
        <v>0</v>
      </c>
      <c r="FK16" s="2">
        <f t="shared" si="65"/>
        <v>38878400</v>
      </c>
    </row>
    <row r="17" spans="1:167" x14ac:dyDescent="0.3">
      <c r="A17" s="9">
        <v>9</v>
      </c>
      <c r="B17" s="11">
        <v>3823</v>
      </c>
      <c r="D17" s="29">
        <v>3.4159548232603025E-2</v>
      </c>
      <c r="G17" s="18">
        <v>9</v>
      </c>
      <c r="H17" s="15"/>
      <c r="I17" s="2"/>
      <c r="J17" s="2">
        <v>72.501403093338013</v>
      </c>
      <c r="K17" s="2"/>
      <c r="L17" s="2">
        <v>85.773998498916626</v>
      </c>
      <c r="M17" s="2"/>
      <c r="N17" s="2"/>
      <c r="O17" s="2">
        <v>0.84733366966247559</v>
      </c>
      <c r="P17" s="2">
        <v>0</v>
      </c>
      <c r="Q17" s="2">
        <v>39.61225152015686</v>
      </c>
      <c r="R17" s="2">
        <v>13.826471567153931</v>
      </c>
      <c r="S17" s="2">
        <v>12.993389368057251</v>
      </c>
      <c r="T17" s="2"/>
      <c r="U17" s="2">
        <v>44.193130731582642</v>
      </c>
      <c r="V17" s="2">
        <v>84.136110544204712</v>
      </c>
      <c r="W17" s="2"/>
      <c r="X17" s="2">
        <v>94.202429056167603</v>
      </c>
      <c r="Y17" s="2">
        <v>31.610924005508423</v>
      </c>
      <c r="Z17" s="2">
        <v>38.063913583755493</v>
      </c>
      <c r="AA17" s="2">
        <v>26.110225915908813</v>
      </c>
      <c r="AC17" s="39">
        <f t="shared" si="1"/>
        <v>543.87158155441284</v>
      </c>
      <c r="AD17" s="2">
        <f t="shared" si="2"/>
        <v>12</v>
      </c>
      <c r="AF17" s="2">
        <v>12</v>
      </c>
      <c r="AG17" s="2">
        <f t="shared" si="0"/>
        <v>125.4</v>
      </c>
      <c r="AJ17" s="49">
        <v>8</v>
      </c>
      <c r="AK17" s="2">
        <f t="shared" si="6"/>
        <v>50.702983487615718</v>
      </c>
      <c r="AL17" s="2">
        <f t="shared" si="7"/>
        <v>58.47864648486366</v>
      </c>
      <c r="AM17" s="2">
        <f t="shared" si="8"/>
        <v>26.519020515386543</v>
      </c>
      <c r="AN17" s="2">
        <f t="shared" si="9"/>
        <v>73.149412059044295</v>
      </c>
      <c r="AO17" s="2">
        <f t="shared" si="10"/>
        <v>23.531404803602705</v>
      </c>
      <c r="AP17" s="2">
        <f t="shared" si="11"/>
        <v>74.022110332749563</v>
      </c>
      <c r="AQ17" s="2">
        <f t="shared" si="12"/>
        <v>53.989360770577946</v>
      </c>
      <c r="AR17" s="2">
        <f t="shared" si="13"/>
        <v>69.179028021015768</v>
      </c>
      <c r="AS17" s="2">
        <f t="shared" si="14"/>
        <v>30.056986489867406</v>
      </c>
      <c r="AT17" s="2">
        <f t="shared" si="15"/>
        <v>17.501138353765327</v>
      </c>
      <c r="AU17" s="2">
        <f t="shared" si="16"/>
        <v>69.045371528646498</v>
      </c>
      <c r="AV17" s="2">
        <f t="shared" si="17"/>
        <v>9.8591318488866673</v>
      </c>
      <c r="AW17" s="2">
        <f t="shared" si="18"/>
        <v>55.884138103577691</v>
      </c>
      <c r="AX17" s="2">
        <f t="shared" si="19"/>
        <v>60.334113084813623</v>
      </c>
      <c r="AY17" s="2">
        <f t="shared" si="20"/>
        <v>21.825318989241936</v>
      </c>
      <c r="AZ17" s="2">
        <f t="shared" si="21"/>
        <v>66.891143357518146</v>
      </c>
      <c r="BA17" s="2">
        <f t="shared" si="22"/>
        <v>14.843732799599701</v>
      </c>
      <c r="BB17" s="2">
        <f t="shared" si="23"/>
        <v>23.248367525644234</v>
      </c>
      <c r="BC17" s="2">
        <f t="shared" si="24"/>
        <v>65.39733550162623</v>
      </c>
      <c r="BD17" s="2">
        <f t="shared" si="25"/>
        <v>15.44125594195647</v>
      </c>
      <c r="BG17" s="49">
        <v>8</v>
      </c>
      <c r="BH17">
        <v>1</v>
      </c>
      <c r="BI17">
        <v>9</v>
      </c>
      <c r="BJ17">
        <v>9</v>
      </c>
      <c r="BK17">
        <v>9</v>
      </c>
      <c r="BL17">
        <v>9</v>
      </c>
      <c r="BM17">
        <v>9</v>
      </c>
      <c r="BN17">
        <v>9</v>
      </c>
      <c r="BO17">
        <v>8</v>
      </c>
      <c r="BP17">
        <v>9</v>
      </c>
      <c r="BQ17">
        <v>9</v>
      </c>
      <c r="BR17">
        <v>9</v>
      </c>
      <c r="BS17">
        <v>9</v>
      </c>
      <c r="BT17">
        <v>9</v>
      </c>
      <c r="BU17">
        <v>9</v>
      </c>
      <c r="BV17">
        <v>15</v>
      </c>
      <c r="BW17">
        <v>16</v>
      </c>
      <c r="BX17">
        <v>9</v>
      </c>
      <c r="BY17">
        <v>9</v>
      </c>
      <c r="BZ17">
        <v>9</v>
      </c>
      <c r="CA17">
        <v>9</v>
      </c>
      <c r="CC17" s="49">
        <v>8</v>
      </c>
      <c r="CD17">
        <v>607.73855659601861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1752.538843418278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90.19097894849709</v>
      </c>
      <c r="CS17">
        <v>694.97913792487236</v>
      </c>
      <c r="CT17">
        <v>0</v>
      </c>
      <c r="CU17">
        <v>0</v>
      </c>
      <c r="CV17">
        <v>0</v>
      </c>
      <c r="CW17">
        <v>0</v>
      </c>
      <c r="CY17" s="49">
        <v>8</v>
      </c>
      <c r="CZ17">
        <v>621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1750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103</v>
      </c>
      <c r="DO17">
        <v>707</v>
      </c>
      <c r="DP17">
        <v>0</v>
      </c>
      <c r="DQ17">
        <v>0</v>
      </c>
      <c r="DR17">
        <v>0</v>
      </c>
      <c r="DS17">
        <v>0</v>
      </c>
      <c r="DU17" s="49">
        <v>8</v>
      </c>
      <c r="DV17" s="2">
        <f t="shared" si="26"/>
        <v>53157600</v>
      </c>
      <c r="DW17" s="2">
        <f t="shared" si="27"/>
        <v>0</v>
      </c>
      <c r="DX17" s="2">
        <f t="shared" si="28"/>
        <v>0</v>
      </c>
      <c r="DY17" s="2">
        <f t="shared" si="29"/>
        <v>0</v>
      </c>
      <c r="DZ17" s="2">
        <f t="shared" si="30"/>
        <v>0</v>
      </c>
      <c r="EA17" s="2">
        <f t="shared" si="31"/>
        <v>0</v>
      </c>
      <c r="EB17" s="2">
        <f t="shared" si="32"/>
        <v>0</v>
      </c>
      <c r="EC17" s="2">
        <f t="shared" si="33"/>
        <v>0</v>
      </c>
      <c r="ED17" s="2">
        <f t="shared" si="34"/>
        <v>149800000</v>
      </c>
      <c r="EE17" s="2">
        <f t="shared" si="35"/>
        <v>0</v>
      </c>
      <c r="EF17" s="2">
        <f t="shared" si="36"/>
        <v>0</v>
      </c>
      <c r="EG17" s="2">
        <f t="shared" si="37"/>
        <v>0</v>
      </c>
      <c r="EH17" s="2">
        <f t="shared" si="38"/>
        <v>0</v>
      </c>
      <c r="EI17" s="2">
        <f t="shared" si="39"/>
        <v>0</v>
      </c>
      <c r="EJ17" s="2">
        <f t="shared" si="40"/>
        <v>8816800</v>
      </c>
      <c r="EK17" s="2">
        <f t="shared" si="41"/>
        <v>60519200</v>
      </c>
      <c r="EL17" s="2">
        <f t="shared" si="42"/>
        <v>0</v>
      </c>
      <c r="EM17" s="2">
        <f t="shared" si="43"/>
        <v>0</v>
      </c>
      <c r="EN17" s="2">
        <f t="shared" si="44"/>
        <v>0</v>
      </c>
      <c r="EO17" s="2">
        <f t="shared" si="45"/>
        <v>0</v>
      </c>
      <c r="EQ17" s="49">
        <v>8</v>
      </c>
      <c r="ER17" s="2">
        <f t="shared" si="46"/>
        <v>53173600</v>
      </c>
      <c r="ES17" s="2">
        <f t="shared" si="47"/>
        <v>0</v>
      </c>
      <c r="ET17" s="2">
        <f t="shared" si="48"/>
        <v>0</v>
      </c>
      <c r="EU17" s="2">
        <f t="shared" si="49"/>
        <v>0</v>
      </c>
      <c r="EV17" s="2">
        <f t="shared" si="50"/>
        <v>0</v>
      </c>
      <c r="EW17" s="2">
        <f t="shared" si="51"/>
        <v>0</v>
      </c>
      <c r="EX17" s="2">
        <f t="shared" si="52"/>
        <v>0</v>
      </c>
      <c r="EY17" s="2">
        <f t="shared" si="53"/>
        <v>0</v>
      </c>
      <c r="EZ17" s="2">
        <f t="shared" si="54"/>
        <v>149816000</v>
      </c>
      <c r="FA17" s="2">
        <f t="shared" si="55"/>
        <v>0</v>
      </c>
      <c r="FB17" s="2">
        <f t="shared" si="56"/>
        <v>0</v>
      </c>
      <c r="FC17" s="2">
        <f t="shared" si="57"/>
        <v>0</v>
      </c>
      <c r="FD17" s="2">
        <f t="shared" si="58"/>
        <v>0</v>
      </c>
      <c r="FE17" s="2">
        <f t="shared" si="59"/>
        <v>0</v>
      </c>
      <c r="FF17" s="2">
        <f t="shared" si="60"/>
        <v>8832800</v>
      </c>
      <c r="FG17" s="2">
        <f t="shared" si="61"/>
        <v>60535200</v>
      </c>
      <c r="FH17" s="2">
        <f t="shared" si="62"/>
        <v>0</v>
      </c>
      <c r="FI17" s="2">
        <f t="shared" si="63"/>
        <v>0</v>
      </c>
      <c r="FJ17" s="2">
        <f t="shared" si="64"/>
        <v>0</v>
      </c>
      <c r="FK17" s="2">
        <f t="shared" si="65"/>
        <v>0</v>
      </c>
    </row>
    <row r="18" spans="1:167" x14ac:dyDescent="0.3">
      <c r="A18" s="9">
        <v>10</v>
      </c>
      <c r="B18" s="11">
        <v>2226</v>
      </c>
      <c r="D18" s="29">
        <v>1.988991743807856E-2</v>
      </c>
      <c r="G18" s="18">
        <v>10</v>
      </c>
      <c r="H18" s="15"/>
      <c r="I18" s="2">
        <v>57.4748694896698</v>
      </c>
      <c r="J18" s="2">
        <v>1.463395357131958</v>
      </c>
      <c r="K18" s="2">
        <v>72.872823476791382</v>
      </c>
      <c r="L18" s="2">
        <v>45.171934366226196</v>
      </c>
      <c r="M18" s="2">
        <v>12.392252683639526</v>
      </c>
      <c r="N18" s="2">
        <v>16.130000352859497</v>
      </c>
      <c r="O18" s="2">
        <v>88.563674688339233</v>
      </c>
      <c r="P18" s="2">
        <v>39.61225152015686</v>
      </c>
      <c r="Q18" s="2">
        <v>0</v>
      </c>
      <c r="R18" s="2"/>
      <c r="S18" s="2">
        <v>1.2033164501190186</v>
      </c>
      <c r="T18" s="2"/>
      <c r="U18" s="2"/>
      <c r="V18" s="2">
        <v>45.296400785446167</v>
      </c>
      <c r="W18" s="2">
        <v>54.25984263420105</v>
      </c>
      <c r="X18" s="2"/>
      <c r="Y18" s="2"/>
      <c r="Z18" s="2"/>
      <c r="AA18" s="2"/>
      <c r="AC18" s="39">
        <f t="shared" si="1"/>
        <v>434.44076180458069</v>
      </c>
      <c r="AD18" s="2">
        <f t="shared" si="2"/>
        <v>11</v>
      </c>
      <c r="AF18" s="2">
        <v>13</v>
      </c>
      <c r="AG18" s="2">
        <f t="shared" si="0"/>
        <v>710.80000000000007</v>
      </c>
      <c r="AJ18" s="49">
        <v>9</v>
      </c>
      <c r="AK18" s="2">
        <f t="shared" si="6"/>
        <v>22.029492655205694</v>
      </c>
      <c r="AL18" s="2">
        <f t="shared" si="7"/>
        <v>25.407871975410135</v>
      </c>
      <c r="AM18" s="2">
        <f t="shared" si="8"/>
        <v>11.522015618857001</v>
      </c>
      <c r="AN18" s="2">
        <f t="shared" si="9"/>
        <v>31.78204367561386</v>
      </c>
      <c r="AO18" s="2">
        <f t="shared" si="10"/>
        <v>10.223952786018085</v>
      </c>
      <c r="AP18" s="2">
        <f t="shared" si="11"/>
        <v>32.161214660995746</v>
      </c>
      <c r="AQ18" s="2">
        <f t="shared" si="12"/>
        <v>23.4573617713285</v>
      </c>
      <c r="AR18" s="2">
        <f t="shared" si="13"/>
        <v>30.056986489867402</v>
      </c>
      <c r="AS18" s="2">
        <f t="shared" si="14"/>
        <v>13.059195289324137</v>
      </c>
      <c r="AT18" s="2">
        <f t="shared" si="15"/>
        <v>7.6039154365774335</v>
      </c>
      <c r="AU18" s="2">
        <f t="shared" si="16"/>
        <v>29.998915257871978</v>
      </c>
      <c r="AV18" s="2">
        <f t="shared" si="17"/>
        <v>4.2836073483684194</v>
      </c>
      <c r="AW18" s="2">
        <f t="shared" si="18"/>
        <v>24.280606883734229</v>
      </c>
      <c r="AX18" s="2">
        <f t="shared" si="19"/>
        <v>26.214037313699563</v>
      </c>
      <c r="AY18" s="2">
        <f t="shared" si="20"/>
        <v>9.4826905893706002</v>
      </c>
      <c r="AZ18" s="2">
        <f t="shared" si="21"/>
        <v>29.062943636298652</v>
      </c>
      <c r="BA18" s="2">
        <f t="shared" si="22"/>
        <v>6.449322706315451</v>
      </c>
      <c r="BB18" s="2">
        <f t="shared" si="23"/>
        <v>10.100978412380714</v>
      </c>
      <c r="BC18" s="2">
        <f t="shared" si="24"/>
        <v>28.413912219879197</v>
      </c>
      <c r="BD18" s="2">
        <f t="shared" si="25"/>
        <v>6.7089352728832345</v>
      </c>
      <c r="BG18" s="49">
        <v>9</v>
      </c>
      <c r="BH18">
        <v>8</v>
      </c>
      <c r="BI18">
        <v>12</v>
      </c>
      <c r="BJ18">
        <v>12</v>
      </c>
      <c r="BK18">
        <v>12</v>
      </c>
      <c r="BL18">
        <v>12</v>
      </c>
      <c r="BM18">
        <v>12</v>
      </c>
      <c r="BN18">
        <v>20</v>
      </c>
      <c r="BO18">
        <v>8</v>
      </c>
      <c r="BP18">
        <v>9</v>
      </c>
      <c r="BQ18">
        <v>12</v>
      </c>
      <c r="BR18">
        <v>11</v>
      </c>
      <c r="BS18">
        <v>12</v>
      </c>
      <c r="BT18">
        <v>12</v>
      </c>
      <c r="BU18">
        <v>14</v>
      </c>
      <c r="BV18">
        <v>8</v>
      </c>
      <c r="BW18">
        <v>8</v>
      </c>
      <c r="BX18">
        <v>20</v>
      </c>
      <c r="BY18">
        <v>12</v>
      </c>
      <c r="BZ18">
        <v>12</v>
      </c>
      <c r="CA18">
        <v>20</v>
      </c>
      <c r="CC18" s="49">
        <v>9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1752.538843418278</v>
      </c>
      <c r="CL18">
        <v>0</v>
      </c>
      <c r="CM18">
        <v>0</v>
      </c>
      <c r="CN18">
        <v>298.41191429286249</v>
      </c>
      <c r="CO18">
        <v>1351.842824975874</v>
      </c>
      <c r="CP18">
        <v>0</v>
      </c>
      <c r="CQ18">
        <v>411.24428142535481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323.29050627256157</v>
      </c>
      <c r="CY18" s="49">
        <v>9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1750</v>
      </c>
      <c r="DH18">
        <v>0</v>
      </c>
      <c r="DI18">
        <v>0</v>
      </c>
      <c r="DJ18">
        <v>313</v>
      </c>
      <c r="DK18">
        <v>1355</v>
      </c>
      <c r="DL18">
        <v>0</v>
      </c>
      <c r="DM18">
        <v>426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338</v>
      </c>
      <c r="DU18" s="49">
        <v>9</v>
      </c>
      <c r="DV18" s="2">
        <f t="shared" si="26"/>
        <v>0</v>
      </c>
      <c r="DW18" s="2">
        <f t="shared" si="27"/>
        <v>0</v>
      </c>
      <c r="DX18" s="2">
        <f t="shared" si="28"/>
        <v>0</v>
      </c>
      <c r="DY18" s="2">
        <f t="shared" si="29"/>
        <v>0</v>
      </c>
      <c r="DZ18" s="2">
        <f t="shared" si="30"/>
        <v>0</v>
      </c>
      <c r="EA18" s="2">
        <f t="shared" si="31"/>
        <v>0</v>
      </c>
      <c r="EB18" s="2">
        <f t="shared" si="32"/>
        <v>0</v>
      </c>
      <c r="EC18" s="2">
        <f t="shared" si="33"/>
        <v>149800000</v>
      </c>
      <c r="ED18" s="2">
        <f t="shared" si="34"/>
        <v>0</v>
      </c>
      <c r="EE18" s="2">
        <f t="shared" si="35"/>
        <v>0</v>
      </c>
      <c r="EF18" s="2">
        <f t="shared" si="36"/>
        <v>26792800</v>
      </c>
      <c r="EG18" s="2">
        <f t="shared" si="37"/>
        <v>115988000</v>
      </c>
      <c r="EH18" s="2">
        <f t="shared" si="38"/>
        <v>0</v>
      </c>
      <c r="EI18" s="2">
        <f t="shared" si="39"/>
        <v>36465600</v>
      </c>
      <c r="EJ18" s="2">
        <f t="shared" si="40"/>
        <v>0</v>
      </c>
      <c r="EK18" s="2">
        <f t="shared" si="41"/>
        <v>0</v>
      </c>
      <c r="EL18" s="2">
        <f t="shared" si="42"/>
        <v>0</v>
      </c>
      <c r="EM18" s="2">
        <f t="shared" si="43"/>
        <v>0</v>
      </c>
      <c r="EN18" s="2">
        <f t="shared" si="44"/>
        <v>0</v>
      </c>
      <c r="EO18" s="2">
        <f t="shared" si="45"/>
        <v>28932800</v>
      </c>
      <c r="EQ18" s="49">
        <v>9</v>
      </c>
      <c r="ER18" s="2">
        <f t="shared" si="46"/>
        <v>0</v>
      </c>
      <c r="ES18" s="2">
        <f t="shared" si="47"/>
        <v>0</v>
      </c>
      <c r="ET18" s="2">
        <f t="shared" si="48"/>
        <v>0</v>
      </c>
      <c r="EU18" s="2">
        <f t="shared" si="49"/>
        <v>0</v>
      </c>
      <c r="EV18" s="2">
        <f t="shared" si="50"/>
        <v>0</v>
      </c>
      <c r="EW18" s="2">
        <f t="shared" si="51"/>
        <v>0</v>
      </c>
      <c r="EX18" s="2">
        <f t="shared" si="52"/>
        <v>0</v>
      </c>
      <c r="EY18" s="2">
        <f t="shared" si="53"/>
        <v>149816000</v>
      </c>
      <c r="EZ18" s="2">
        <f t="shared" si="54"/>
        <v>0</v>
      </c>
      <c r="FA18" s="2">
        <f t="shared" si="55"/>
        <v>0</v>
      </c>
      <c r="FB18" s="2">
        <f t="shared" si="56"/>
        <v>26808800</v>
      </c>
      <c r="FC18" s="2">
        <f t="shared" si="57"/>
        <v>116004000</v>
      </c>
      <c r="FD18" s="2">
        <f t="shared" si="58"/>
        <v>0</v>
      </c>
      <c r="FE18" s="2">
        <f t="shared" si="59"/>
        <v>36481600</v>
      </c>
      <c r="FF18" s="2">
        <f t="shared" si="60"/>
        <v>0</v>
      </c>
      <c r="FG18" s="2">
        <f t="shared" si="61"/>
        <v>0</v>
      </c>
      <c r="FH18" s="2">
        <f t="shared" si="62"/>
        <v>0</v>
      </c>
      <c r="FI18" s="2">
        <f t="shared" si="63"/>
        <v>0</v>
      </c>
      <c r="FJ18" s="2">
        <f t="shared" si="64"/>
        <v>0</v>
      </c>
      <c r="FK18" s="2">
        <f t="shared" si="65"/>
        <v>28948800</v>
      </c>
    </row>
    <row r="19" spans="1:167" x14ac:dyDescent="0.3">
      <c r="A19" s="9">
        <v>11</v>
      </c>
      <c r="B19" s="11">
        <v>8782</v>
      </c>
      <c r="D19" s="29">
        <v>7.8469566460559706E-2</v>
      </c>
      <c r="G19" s="18">
        <v>11</v>
      </c>
      <c r="H19" s="15"/>
      <c r="I19" s="2">
        <v>32.028216123580933</v>
      </c>
      <c r="J19" s="2"/>
      <c r="K19" s="2">
        <v>61.10796332359314</v>
      </c>
      <c r="L19" s="2"/>
      <c r="M19" s="2"/>
      <c r="N19" s="2"/>
      <c r="O19" s="2"/>
      <c r="P19" s="2">
        <v>13.826471567153931</v>
      </c>
      <c r="Q19" s="2"/>
      <c r="R19" s="2">
        <v>0</v>
      </c>
      <c r="S19" s="2">
        <v>21.191293001174927</v>
      </c>
      <c r="T19" s="2">
        <v>96.999293565750122</v>
      </c>
      <c r="U19" s="2">
        <v>62.823468446731567</v>
      </c>
      <c r="V19" s="2">
        <v>52.306395769119263</v>
      </c>
      <c r="W19" s="2">
        <v>75.653153657913208</v>
      </c>
      <c r="X19" s="2">
        <v>69.631320238113403</v>
      </c>
      <c r="Y19" s="2">
        <v>47.570973634719849</v>
      </c>
      <c r="Z19" s="2"/>
      <c r="AA19" s="2">
        <v>91.467553377151489</v>
      </c>
      <c r="AC19" s="39">
        <f t="shared" si="1"/>
        <v>624.60610270500183</v>
      </c>
      <c r="AD19" s="2">
        <f t="shared" si="2"/>
        <v>11</v>
      </c>
      <c r="AF19" s="2">
        <v>14</v>
      </c>
      <c r="AG19" s="2">
        <f t="shared" si="0"/>
        <v>767.40000000000009</v>
      </c>
      <c r="AJ19" s="49">
        <v>10</v>
      </c>
      <c r="AK19" s="2">
        <f t="shared" si="6"/>
        <v>12.827007755816865</v>
      </c>
      <c r="AL19" s="2">
        <f t="shared" si="7"/>
        <v>14.794120590442835</v>
      </c>
      <c r="AM19" s="2">
        <f t="shared" si="8"/>
        <v>6.7088691518638983</v>
      </c>
      <c r="AN19" s="2">
        <f t="shared" si="9"/>
        <v>18.505579184388296</v>
      </c>
      <c r="AO19" s="2">
        <f t="shared" si="10"/>
        <v>5.9530522892169131</v>
      </c>
      <c r="AP19" s="2">
        <f t="shared" si="11"/>
        <v>18.726357267950963</v>
      </c>
      <c r="AQ19" s="2">
        <f t="shared" si="12"/>
        <v>13.658406304728549</v>
      </c>
      <c r="AR19" s="2">
        <f t="shared" si="13"/>
        <v>17.501138353765327</v>
      </c>
      <c r="AS19" s="2">
        <f t="shared" si="14"/>
        <v>7.6039154365774344</v>
      </c>
      <c r="AT19" s="2">
        <f t="shared" si="15"/>
        <v>4.4274956217162877</v>
      </c>
      <c r="AU19" s="2">
        <f t="shared" si="16"/>
        <v>17.467325494120594</v>
      </c>
      <c r="AV19" s="2">
        <f t="shared" si="17"/>
        <v>2.4941956467350517</v>
      </c>
      <c r="AW19" s="2">
        <f t="shared" si="18"/>
        <v>14.137753314986242</v>
      </c>
      <c r="AX19" s="2">
        <f t="shared" si="19"/>
        <v>15.263522641981488</v>
      </c>
      <c r="AY19" s="2">
        <f t="shared" si="20"/>
        <v>5.5214410808106082</v>
      </c>
      <c r="AZ19" s="2">
        <f t="shared" si="21"/>
        <v>16.922341756317238</v>
      </c>
      <c r="BA19" s="2">
        <f t="shared" si="22"/>
        <v>3.7552164123092324</v>
      </c>
      <c r="BB19" s="2">
        <f t="shared" si="23"/>
        <v>5.8814485864398298</v>
      </c>
      <c r="BC19" s="2">
        <f t="shared" si="24"/>
        <v>16.544433324993747</v>
      </c>
      <c r="BD19" s="2">
        <f t="shared" si="25"/>
        <v>3.9063797848386295</v>
      </c>
      <c r="BG19" s="49">
        <v>10</v>
      </c>
      <c r="BH19">
        <v>12</v>
      </c>
      <c r="BI19">
        <v>12</v>
      </c>
      <c r="BJ19">
        <v>3</v>
      </c>
      <c r="BK19">
        <v>3</v>
      </c>
      <c r="BL19">
        <v>3</v>
      </c>
      <c r="BM19">
        <v>6</v>
      </c>
      <c r="BN19">
        <v>7</v>
      </c>
      <c r="BO19">
        <v>12</v>
      </c>
      <c r="BP19">
        <v>12</v>
      </c>
      <c r="BQ19">
        <v>10</v>
      </c>
      <c r="BR19">
        <v>12</v>
      </c>
      <c r="BS19">
        <v>12</v>
      </c>
      <c r="BT19">
        <v>3</v>
      </c>
      <c r="BU19">
        <v>12</v>
      </c>
      <c r="BV19">
        <v>6</v>
      </c>
      <c r="BW19">
        <v>12</v>
      </c>
      <c r="BX19">
        <v>7</v>
      </c>
      <c r="BY19">
        <v>3</v>
      </c>
      <c r="BZ19">
        <v>3</v>
      </c>
      <c r="CA19">
        <v>6</v>
      </c>
      <c r="CC19" s="49">
        <v>10</v>
      </c>
      <c r="CD19">
        <v>0</v>
      </c>
      <c r="CE19">
        <v>0</v>
      </c>
      <c r="CF19">
        <v>1680.9623172736699</v>
      </c>
      <c r="CG19">
        <v>0</v>
      </c>
      <c r="CH19">
        <v>0</v>
      </c>
      <c r="CI19">
        <v>727.33061224489802</v>
      </c>
      <c r="CJ19">
        <v>305.80237052789602</v>
      </c>
      <c r="CK19">
        <v>0</v>
      </c>
      <c r="CL19">
        <v>0</v>
      </c>
      <c r="CM19">
        <v>0</v>
      </c>
      <c r="CN19">
        <v>0</v>
      </c>
      <c r="CO19">
        <v>1933.525147432003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Y19" s="49">
        <v>10</v>
      </c>
      <c r="CZ19">
        <v>0</v>
      </c>
      <c r="DA19">
        <v>0</v>
      </c>
      <c r="DB19">
        <v>1679</v>
      </c>
      <c r="DC19">
        <v>0</v>
      </c>
      <c r="DD19">
        <v>0</v>
      </c>
      <c r="DE19">
        <v>739</v>
      </c>
      <c r="DF19">
        <v>321</v>
      </c>
      <c r="DG19">
        <v>0</v>
      </c>
      <c r="DH19">
        <v>0</v>
      </c>
      <c r="DI19">
        <v>0</v>
      </c>
      <c r="DJ19">
        <v>0</v>
      </c>
      <c r="DK19">
        <v>1928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U19" s="49">
        <v>10</v>
      </c>
      <c r="DV19" s="2">
        <f t="shared" si="26"/>
        <v>0</v>
      </c>
      <c r="DW19" s="2">
        <f t="shared" si="27"/>
        <v>0</v>
      </c>
      <c r="DX19" s="2">
        <f t="shared" si="28"/>
        <v>143722400</v>
      </c>
      <c r="DY19" s="2">
        <f t="shared" si="29"/>
        <v>0</v>
      </c>
      <c r="DZ19" s="2">
        <f t="shared" si="30"/>
        <v>0</v>
      </c>
      <c r="EA19" s="2">
        <f t="shared" si="31"/>
        <v>63258400</v>
      </c>
      <c r="EB19" s="2">
        <f t="shared" si="32"/>
        <v>27477600</v>
      </c>
      <c r="EC19" s="2">
        <f t="shared" si="33"/>
        <v>0</v>
      </c>
      <c r="ED19" s="2">
        <f t="shared" si="34"/>
        <v>0</v>
      </c>
      <c r="EE19" s="2">
        <f t="shared" si="35"/>
        <v>0</v>
      </c>
      <c r="EF19" s="2">
        <f t="shared" si="36"/>
        <v>0</v>
      </c>
      <c r="EG19" s="2">
        <f t="shared" si="37"/>
        <v>165036800</v>
      </c>
      <c r="EH19" s="2">
        <f t="shared" si="38"/>
        <v>0</v>
      </c>
      <c r="EI19" s="2">
        <f t="shared" si="39"/>
        <v>0</v>
      </c>
      <c r="EJ19" s="2">
        <f t="shared" si="40"/>
        <v>0</v>
      </c>
      <c r="EK19" s="2">
        <f t="shared" si="41"/>
        <v>0</v>
      </c>
      <c r="EL19" s="2">
        <f t="shared" si="42"/>
        <v>0</v>
      </c>
      <c r="EM19" s="2">
        <f t="shared" si="43"/>
        <v>0</v>
      </c>
      <c r="EN19" s="2">
        <f t="shared" si="44"/>
        <v>0</v>
      </c>
      <c r="EO19" s="2">
        <f t="shared" si="45"/>
        <v>0</v>
      </c>
      <c r="EQ19" s="49">
        <v>10</v>
      </c>
      <c r="ER19" s="2">
        <f t="shared" si="46"/>
        <v>0</v>
      </c>
      <c r="ES19" s="2">
        <f t="shared" si="47"/>
        <v>0</v>
      </c>
      <c r="ET19" s="2">
        <f t="shared" si="48"/>
        <v>143738400</v>
      </c>
      <c r="EU19" s="2">
        <f t="shared" si="49"/>
        <v>0</v>
      </c>
      <c r="EV19" s="2">
        <f t="shared" si="50"/>
        <v>0</v>
      </c>
      <c r="EW19" s="2">
        <f t="shared" si="51"/>
        <v>63274400</v>
      </c>
      <c r="EX19" s="2">
        <f t="shared" si="52"/>
        <v>27493600</v>
      </c>
      <c r="EY19" s="2">
        <f t="shared" si="53"/>
        <v>0</v>
      </c>
      <c r="EZ19" s="2">
        <f t="shared" si="54"/>
        <v>0</v>
      </c>
      <c r="FA19" s="2">
        <f t="shared" si="55"/>
        <v>0</v>
      </c>
      <c r="FB19" s="2">
        <f t="shared" si="56"/>
        <v>0</v>
      </c>
      <c r="FC19" s="2">
        <f t="shared" si="57"/>
        <v>165052800</v>
      </c>
      <c r="FD19" s="2">
        <f t="shared" si="58"/>
        <v>0</v>
      </c>
      <c r="FE19" s="2">
        <f t="shared" si="59"/>
        <v>0</v>
      </c>
      <c r="FF19" s="2">
        <f t="shared" si="60"/>
        <v>0</v>
      </c>
      <c r="FG19" s="2">
        <f t="shared" si="61"/>
        <v>0</v>
      </c>
      <c r="FH19" s="2">
        <f t="shared" si="62"/>
        <v>0</v>
      </c>
      <c r="FI19" s="2">
        <f t="shared" si="63"/>
        <v>0</v>
      </c>
      <c r="FJ19" s="2">
        <f t="shared" si="64"/>
        <v>0</v>
      </c>
      <c r="FK19" s="2">
        <f t="shared" si="65"/>
        <v>0</v>
      </c>
    </row>
    <row r="20" spans="1:167" x14ac:dyDescent="0.3">
      <c r="A20" s="9">
        <v>12</v>
      </c>
      <c r="B20" s="11">
        <v>1254</v>
      </c>
      <c r="D20" s="29">
        <v>1.1204832195575254E-2</v>
      </c>
      <c r="G20" s="18">
        <v>12</v>
      </c>
      <c r="H20" s="15"/>
      <c r="I20" s="2">
        <v>11.917561292648315</v>
      </c>
      <c r="J20" s="2">
        <v>73.674184083938599</v>
      </c>
      <c r="K20" s="2">
        <v>62.808984518051147</v>
      </c>
      <c r="L20" s="2"/>
      <c r="M20" s="2"/>
      <c r="N20" s="2"/>
      <c r="O20" s="2"/>
      <c r="P20" s="2">
        <v>12.993389368057251</v>
      </c>
      <c r="Q20" s="2">
        <v>1.2033164501190186</v>
      </c>
      <c r="R20" s="2">
        <v>21.191293001174927</v>
      </c>
      <c r="S20" s="2">
        <v>0</v>
      </c>
      <c r="T20" s="2">
        <v>80.449813604354858</v>
      </c>
      <c r="U20" s="2">
        <v>75.699418783187866</v>
      </c>
      <c r="V20" s="2"/>
      <c r="W20" s="2">
        <v>68.705648183822632</v>
      </c>
      <c r="X20" s="2"/>
      <c r="Y20" s="2"/>
      <c r="Z20" s="2"/>
      <c r="AA20" s="2"/>
      <c r="AC20" s="39">
        <f t="shared" si="1"/>
        <v>408.64360928535461</v>
      </c>
      <c r="AD20" s="2">
        <f t="shared" si="2"/>
        <v>9</v>
      </c>
      <c r="AF20" s="2">
        <v>15</v>
      </c>
      <c r="AG20" s="2">
        <f t="shared" si="0"/>
        <v>277.60000000000002</v>
      </c>
      <c r="AJ20" s="49">
        <v>11</v>
      </c>
      <c r="AK20" s="2">
        <f t="shared" si="6"/>
        <v>50.605023410414958</v>
      </c>
      <c r="AL20" s="2">
        <f t="shared" si="7"/>
        <v>58.365663533364319</v>
      </c>
      <c r="AM20" s="2">
        <f t="shared" si="8"/>
        <v>26.467784767146789</v>
      </c>
      <c r="AN20" s="2">
        <f t="shared" si="9"/>
        <v>73.008084634904762</v>
      </c>
      <c r="AO20" s="2">
        <f t="shared" si="10"/>
        <v>23.48594124164552</v>
      </c>
      <c r="AP20" s="2">
        <f t="shared" si="11"/>
        <v>73.879096822616958</v>
      </c>
      <c r="AQ20" s="2">
        <f t="shared" si="12"/>
        <v>53.885051288466357</v>
      </c>
      <c r="AR20" s="2">
        <f t="shared" si="13"/>
        <v>69.045371528646484</v>
      </c>
      <c r="AS20" s="2">
        <f t="shared" si="14"/>
        <v>29.998915257871978</v>
      </c>
      <c r="AT20" s="2">
        <f t="shared" si="15"/>
        <v>17.46732549412059</v>
      </c>
      <c r="AU20" s="2">
        <f t="shared" si="16"/>
        <v>68.911973265663534</v>
      </c>
      <c r="AV20" s="2">
        <f t="shared" si="17"/>
        <v>9.8400836341541886</v>
      </c>
      <c r="AW20" s="2">
        <f t="shared" si="18"/>
        <v>55.77616784016584</v>
      </c>
      <c r="AX20" s="2">
        <f t="shared" si="19"/>
        <v>60.217545301833525</v>
      </c>
      <c r="AY20" s="2">
        <f t="shared" si="20"/>
        <v>21.783151649451376</v>
      </c>
      <c r="AZ20" s="2">
        <f t="shared" si="21"/>
        <v>66.761907144644198</v>
      </c>
      <c r="BA20" s="2">
        <f t="shared" si="22"/>
        <v>14.815054147753674</v>
      </c>
      <c r="BB20" s="2">
        <f t="shared" si="23"/>
        <v>23.203450802387504</v>
      </c>
      <c r="BC20" s="2">
        <f t="shared" si="24"/>
        <v>65.270985381893567</v>
      </c>
      <c r="BD20" s="2">
        <f t="shared" si="25"/>
        <v>15.411422852853928</v>
      </c>
      <c r="BG20" s="49">
        <v>11</v>
      </c>
      <c r="BH20">
        <v>9</v>
      </c>
      <c r="BI20">
        <v>2</v>
      </c>
      <c r="BJ20">
        <v>12</v>
      </c>
      <c r="BK20">
        <v>12</v>
      </c>
      <c r="BL20">
        <v>12</v>
      </c>
      <c r="BM20">
        <v>12</v>
      </c>
      <c r="BN20">
        <v>12</v>
      </c>
      <c r="BO20">
        <v>9</v>
      </c>
      <c r="BP20">
        <v>9</v>
      </c>
      <c r="BQ20">
        <v>12</v>
      </c>
      <c r="BR20">
        <v>11</v>
      </c>
      <c r="BS20">
        <v>12</v>
      </c>
      <c r="BT20">
        <v>12</v>
      </c>
      <c r="BU20">
        <v>9</v>
      </c>
      <c r="BV20">
        <v>9</v>
      </c>
      <c r="BW20">
        <v>9</v>
      </c>
      <c r="BX20">
        <v>12</v>
      </c>
      <c r="BY20">
        <v>12</v>
      </c>
      <c r="BZ20">
        <v>12</v>
      </c>
      <c r="CA20">
        <v>12</v>
      </c>
      <c r="CC20" s="49">
        <v>11</v>
      </c>
      <c r="CD20">
        <v>0</v>
      </c>
      <c r="CE20">
        <v>58.365663533364319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298.41191429286249</v>
      </c>
      <c r="CM20">
        <v>0</v>
      </c>
      <c r="CN20">
        <v>0</v>
      </c>
      <c r="CO20">
        <v>452.51044890810982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Y20" s="49">
        <v>11</v>
      </c>
      <c r="CZ20">
        <v>0</v>
      </c>
      <c r="DA20">
        <v>70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313</v>
      </c>
      <c r="DI20">
        <v>0</v>
      </c>
      <c r="DJ20">
        <v>0</v>
      </c>
      <c r="DK20">
        <v>467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U20" s="49">
        <v>11</v>
      </c>
      <c r="DV20" s="2">
        <f t="shared" si="26"/>
        <v>0</v>
      </c>
      <c r="DW20" s="2">
        <f t="shared" si="27"/>
        <v>5992000</v>
      </c>
      <c r="DX20" s="2">
        <f t="shared" si="28"/>
        <v>0</v>
      </c>
      <c r="DY20" s="2">
        <f t="shared" si="29"/>
        <v>0</v>
      </c>
      <c r="DZ20" s="2">
        <f t="shared" si="30"/>
        <v>0</v>
      </c>
      <c r="EA20" s="2">
        <f t="shared" si="31"/>
        <v>0</v>
      </c>
      <c r="EB20" s="2">
        <f t="shared" si="32"/>
        <v>0</v>
      </c>
      <c r="EC20" s="2">
        <f t="shared" si="33"/>
        <v>0</v>
      </c>
      <c r="ED20" s="2">
        <f t="shared" si="34"/>
        <v>26792800</v>
      </c>
      <c r="EE20" s="2">
        <f t="shared" si="35"/>
        <v>0</v>
      </c>
      <c r="EF20" s="2">
        <f t="shared" si="36"/>
        <v>0</v>
      </c>
      <c r="EG20" s="2">
        <f t="shared" si="37"/>
        <v>39975200</v>
      </c>
      <c r="EH20" s="2">
        <f t="shared" si="38"/>
        <v>0</v>
      </c>
      <c r="EI20" s="2">
        <f t="shared" si="39"/>
        <v>0</v>
      </c>
      <c r="EJ20" s="2">
        <f t="shared" si="40"/>
        <v>0</v>
      </c>
      <c r="EK20" s="2">
        <f t="shared" si="41"/>
        <v>0</v>
      </c>
      <c r="EL20" s="2">
        <f t="shared" si="42"/>
        <v>0</v>
      </c>
      <c r="EM20" s="2">
        <f t="shared" si="43"/>
        <v>0</v>
      </c>
      <c r="EN20" s="2">
        <f t="shared" si="44"/>
        <v>0</v>
      </c>
      <c r="EO20" s="2">
        <f t="shared" si="45"/>
        <v>0</v>
      </c>
      <c r="EQ20" s="49">
        <v>11</v>
      </c>
      <c r="ER20" s="2">
        <f t="shared" si="46"/>
        <v>0</v>
      </c>
      <c r="ES20" s="2">
        <f t="shared" si="47"/>
        <v>6008000</v>
      </c>
      <c r="ET20" s="2">
        <f t="shared" si="48"/>
        <v>0</v>
      </c>
      <c r="EU20" s="2">
        <f t="shared" si="49"/>
        <v>0</v>
      </c>
      <c r="EV20" s="2">
        <f t="shared" si="50"/>
        <v>0</v>
      </c>
      <c r="EW20" s="2">
        <f t="shared" si="51"/>
        <v>0</v>
      </c>
      <c r="EX20" s="2">
        <f t="shared" si="52"/>
        <v>0</v>
      </c>
      <c r="EY20" s="2">
        <f t="shared" si="53"/>
        <v>0</v>
      </c>
      <c r="EZ20" s="2">
        <f t="shared" si="54"/>
        <v>26808800</v>
      </c>
      <c r="FA20" s="2">
        <f t="shared" si="55"/>
        <v>0</v>
      </c>
      <c r="FB20" s="2">
        <f t="shared" si="56"/>
        <v>0</v>
      </c>
      <c r="FC20" s="2">
        <f t="shared" si="57"/>
        <v>39991200</v>
      </c>
      <c r="FD20" s="2">
        <f t="shared" si="58"/>
        <v>0</v>
      </c>
      <c r="FE20" s="2">
        <f t="shared" si="59"/>
        <v>0</v>
      </c>
      <c r="FF20" s="2">
        <f t="shared" si="60"/>
        <v>0</v>
      </c>
      <c r="FG20" s="2">
        <f t="shared" si="61"/>
        <v>0</v>
      </c>
      <c r="FH20" s="2">
        <f t="shared" si="62"/>
        <v>0</v>
      </c>
      <c r="FI20" s="2">
        <f t="shared" si="63"/>
        <v>0</v>
      </c>
      <c r="FJ20" s="2">
        <f t="shared" si="64"/>
        <v>0</v>
      </c>
      <c r="FK20" s="2">
        <f t="shared" si="65"/>
        <v>0</v>
      </c>
    </row>
    <row r="21" spans="1:167" x14ac:dyDescent="0.3">
      <c r="A21" s="9">
        <v>13</v>
      </c>
      <c r="B21" s="11">
        <v>7108</v>
      </c>
      <c r="D21" s="29">
        <v>6.3511919654026236E-2</v>
      </c>
      <c r="G21" s="18">
        <v>13</v>
      </c>
      <c r="H21" s="15">
        <v>56.916147470474243</v>
      </c>
      <c r="I21" s="2">
        <v>96.019858121871948</v>
      </c>
      <c r="J21" s="2"/>
      <c r="K21" s="2"/>
      <c r="L21" s="2"/>
      <c r="M21" s="2">
        <v>8.7970435619354248</v>
      </c>
      <c r="N21" s="2">
        <v>64.925462007522583</v>
      </c>
      <c r="O21" s="2"/>
      <c r="P21" s="2"/>
      <c r="Q21" s="2"/>
      <c r="R21" s="2">
        <v>96.999293565750122</v>
      </c>
      <c r="S21" s="2">
        <v>80.449813604354858</v>
      </c>
      <c r="T21" s="2">
        <v>0</v>
      </c>
      <c r="U21" s="2"/>
      <c r="V21" s="2"/>
      <c r="W21" s="2">
        <v>60.792356729507446</v>
      </c>
      <c r="X21" s="2">
        <v>17.750412225723267</v>
      </c>
      <c r="Y21" s="2">
        <v>6.8388998508453369</v>
      </c>
      <c r="Z21" s="2"/>
      <c r="AA21" s="2"/>
      <c r="AC21" s="39">
        <f t="shared" si="1"/>
        <v>489.48928713798523</v>
      </c>
      <c r="AD21" s="2">
        <f t="shared" si="2"/>
        <v>9</v>
      </c>
      <c r="AF21" s="2">
        <v>16</v>
      </c>
      <c r="AG21" s="2">
        <f t="shared" si="0"/>
        <v>850.80000000000007</v>
      </c>
      <c r="AJ21" s="49">
        <v>12</v>
      </c>
      <c r="AK21" s="2">
        <f t="shared" si="6"/>
        <v>7.2259962829264817</v>
      </c>
      <c r="AL21" s="2">
        <f t="shared" si="7"/>
        <v>8.334154187068874</v>
      </c>
      <c r="AM21" s="2">
        <f t="shared" si="8"/>
        <v>3.779389899567533</v>
      </c>
      <c r="AN21" s="2">
        <f t="shared" si="9"/>
        <v>10.424975874763216</v>
      </c>
      <c r="AO21" s="2">
        <f t="shared" si="10"/>
        <v>3.3536062761356731</v>
      </c>
      <c r="AP21" s="2">
        <f t="shared" si="11"/>
        <v>10.549349512134102</v>
      </c>
      <c r="AQ21" s="2">
        <f t="shared" si="12"/>
        <v>7.6943582687015271</v>
      </c>
      <c r="AR21" s="2">
        <f t="shared" si="13"/>
        <v>9.8591318488866655</v>
      </c>
      <c r="AS21" s="2">
        <f t="shared" si="14"/>
        <v>4.2836073483684194</v>
      </c>
      <c r="AT21" s="2">
        <f t="shared" si="15"/>
        <v>2.4941956467350517</v>
      </c>
      <c r="AU21" s="2">
        <f t="shared" si="16"/>
        <v>9.8400836341541869</v>
      </c>
      <c r="AV21" s="2">
        <f t="shared" si="17"/>
        <v>1.4050859573251369</v>
      </c>
      <c r="AW21" s="2">
        <f t="shared" si="18"/>
        <v>7.9643947246148903</v>
      </c>
      <c r="AX21" s="2">
        <f t="shared" si="19"/>
        <v>8.5985882268844502</v>
      </c>
      <c r="AY21" s="2">
        <f t="shared" si="20"/>
        <v>3.1104614174916905</v>
      </c>
      <c r="AZ21" s="2">
        <f t="shared" si="21"/>
        <v>9.5330712319954252</v>
      </c>
      <c r="BA21" s="2">
        <f t="shared" si="22"/>
        <v>2.115472318524608</v>
      </c>
      <c r="BB21" s="2">
        <f t="shared" si="23"/>
        <v>3.3132688802316022</v>
      </c>
      <c r="BC21" s="2">
        <f t="shared" si="24"/>
        <v>9.3201794202794961</v>
      </c>
      <c r="BD21" s="2">
        <f t="shared" si="25"/>
        <v>2.2006290432109799</v>
      </c>
      <c r="BG21" s="49">
        <v>12</v>
      </c>
      <c r="BH21">
        <v>9</v>
      </c>
      <c r="BI21">
        <v>2</v>
      </c>
      <c r="BJ21">
        <v>10</v>
      </c>
      <c r="BK21">
        <v>10</v>
      </c>
      <c r="BL21">
        <v>10</v>
      </c>
      <c r="BM21">
        <v>10</v>
      </c>
      <c r="BN21">
        <v>10</v>
      </c>
      <c r="BO21">
        <v>9</v>
      </c>
      <c r="BP21">
        <v>9</v>
      </c>
      <c r="BQ21">
        <v>10</v>
      </c>
      <c r="BR21">
        <v>11</v>
      </c>
      <c r="BS21">
        <v>12</v>
      </c>
      <c r="BT21">
        <v>10</v>
      </c>
      <c r="BU21">
        <v>9</v>
      </c>
      <c r="BV21">
        <v>10</v>
      </c>
      <c r="BW21">
        <v>9</v>
      </c>
      <c r="BX21">
        <v>10</v>
      </c>
      <c r="BY21">
        <v>10</v>
      </c>
      <c r="BZ21">
        <v>10</v>
      </c>
      <c r="CA21">
        <v>10</v>
      </c>
      <c r="CC21" s="49">
        <v>12</v>
      </c>
      <c r="CD21">
        <v>0</v>
      </c>
      <c r="CE21">
        <v>487.10938024947291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1351.842824975874</v>
      </c>
      <c r="CM21">
        <v>1933.525147432003</v>
      </c>
      <c r="CN21">
        <v>452.51044890810982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Y21" s="49">
        <v>12</v>
      </c>
      <c r="CZ21">
        <v>0</v>
      </c>
      <c r="DA21">
        <v>501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1355</v>
      </c>
      <c r="DI21">
        <v>1928</v>
      </c>
      <c r="DJ21">
        <v>467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U21" s="49">
        <v>12</v>
      </c>
      <c r="DV21" s="2">
        <f t="shared" si="26"/>
        <v>0</v>
      </c>
      <c r="DW21" s="2">
        <f t="shared" si="27"/>
        <v>42885600</v>
      </c>
      <c r="DX21" s="2">
        <f t="shared" si="28"/>
        <v>0</v>
      </c>
      <c r="DY21" s="2">
        <f t="shared" si="29"/>
        <v>0</v>
      </c>
      <c r="DZ21" s="2">
        <f t="shared" si="30"/>
        <v>0</v>
      </c>
      <c r="EA21" s="2">
        <f t="shared" si="31"/>
        <v>0</v>
      </c>
      <c r="EB21" s="2">
        <f t="shared" si="32"/>
        <v>0</v>
      </c>
      <c r="EC21" s="2">
        <f t="shared" si="33"/>
        <v>0</v>
      </c>
      <c r="ED21" s="2">
        <f t="shared" si="34"/>
        <v>115988000</v>
      </c>
      <c r="EE21" s="2">
        <f t="shared" si="35"/>
        <v>165036800</v>
      </c>
      <c r="EF21" s="2">
        <f t="shared" si="36"/>
        <v>39975200</v>
      </c>
      <c r="EG21" s="2">
        <f t="shared" si="37"/>
        <v>0</v>
      </c>
      <c r="EH21" s="2">
        <f t="shared" si="38"/>
        <v>0</v>
      </c>
      <c r="EI21" s="2">
        <f t="shared" si="39"/>
        <v>0</v>
      </c>
      <c r="EJ21" s="2">
        <f t="shared" si="40"/>
        <v>0</v>
      </c>
      <c r="EK21" s="2">
        <f t="shared" si="41"/>
        <v>0</v>
      </c>
      <c r="EL21" s="2">
        <f t="shared" si="42"/>
        <v>0</v>
      </c>
      <c r="EM21" s="2">
        <f t="shared" si="43"/>
        <v>0</v>
      </c>
      <c r="EN21" s="2">
        <f t="shared" si="44"/>
        <v>0</v>
      </c>
      <c r="EO21" s="2">
        <f t="shared" si="45"/>
        <v>0</v>
      </c>
      <c r="EQ21" s="49">
        <v>12</v>
      </c>
      <c r="ER21" s="2">
        <f t="shared" si="46"/>
        <v>0</v>
      </c>
      <c r="ES21" s="2">
        <f t="shared" si="47"/>
        <v>42901600</v>
      </c>
      <c r="ET21" s="2">
        <f t="shared" si="48"/>
        <v>0</v>
      </c>
      <c r="EU21" s="2">
        <f t="shared" si="49"/>
        <v>0</v>
      </c>
      <c r="EV21" s="2">
        <f t="shared" si="50"/>
        <v>0</v>
      </c>
      <c r="EW21" s="2">
        <f t="shared" si="51"/>
        <v>0</v>
      </c>
      <c r="EX21" s="2">
        <f t="shared" si="52"/>
        <v>0</v>
      </c>
      <c r="EY21" s="2">
        <f t="shared" si="53"/>
        <v>0</v>
      </c>
      <c r="EZ21" s="2">
        <f t="shared" si="54"/>
        <v>116004000</v>
      </c>
      <c r="FA21" s="2">
        <f t="shared" si="55"/>
        <v>165052800</v>
      </c>
      <c r="FB21" s="2">
        <f t="shared" si="56"/>
        <v>39991200</v>
      </c>
      <c r="FC21" s="2">
        <f t="shared" si="57"/>
        <v>0</v>
      </c>
      <c r="FD21" s="2">
        <f t="shared" si="58"/>
        <v>0</v>
      </c>
      <c r="FE21" s="2">
        <f t="shared" si="59"/>
        <v>0</v>
      </c>
      <c r="FF21" s="2">
        <f t="shared" si="60"/>
        <v>0</v>
      </c>
      <c r="FG21" s="2">
        <f t="shared" si="61"/>
        <v>0</v>
      </c>
      <c r="FH21" s="2">
        <f t="shared" si="62"/>
        <v>0</v>
      </c>
      <c r="FI21" s="2">
        <f t="shared" si="63"/>
        <v>0</v>
      </c>
      <c r="FJ21" s="2">
        <f t="shared" si="64"/>
        <v>0</v>
      </c>
      <c r="FK21" s="2">
        <f t="shared" si="65"/>
        <v>0</v>
      </c>
    </row>
    <row r="22" spans="1:167" x14ac:dyDescent="0.3">
      <c r="A22" s="9">
        <v>14</v>
      </c>
      <c r="B22" s="11">
        <v>7674</v>
      </c>
      <c r="D22" s="29">
        <v>6.8569284105936601E-2</v>
      </c>
      <c r="G22" s="18">
        <v>14</v>
      </c>
      <c r="H22" s="15"/>
      <c r="I22" s="2">
        <v>47.274559736251831</v>
      </c>
      <c r="J22" s="2"/>
      <c r="K22" s="2">
        <v>31.803983449935913</v>
      </c>
      <c r="L22" s="2">
        <v>58.755499124526978</v>
      </c>
      <c r="M22" s="2"/>
      <c r="N22" s="2">
        <v>95.304995775222778</v>
      </c>
      <c r="O22" s="2"/>
      <c r="P22" s="2">
        <v>44.193130731582642</v>
      </c>
      <c r="Q22" s="2"/>
      <c r="R22" s="2">
        <v>62.823468446731567</v>
      </c>
      <c r="S22" s="2">
        <v>75.699418783187866</v>
      </c>
      <c r="T22" s="2"/>
      <c r="U22" s="2">
        <v>0</v>
      </c>
      <c r="V22" s="2"/>
      <c r="W22" s="2"/>
      <c r="X22" s="2">
        <v>94.993084669113159</v>
      </c>
      <c r="Y22" s="2">
        <v>88.684004545211792</v>
      </c>
      <c r="Z22" s="2"/>
      <c r="AA22" s="2"/>
      <c r="AC22" s="39">
        <f t="shared" si="1"/>
        <v>599.53214526176453</v>
      </c>
      <c r="AD22" s="2">
        <f t="shared" si="2"/>
        <v>9</v>
      </c>
      <c r="AF22" s="2">
        <v>17</v>
      </c>
      <c r="AG22" s="2">
        <f t="shared" si="0"/>
        <v>188.8</v>
      </c>
      <c r="AJ22" s="49">
        <v>13</v>
      </c>
      <c r="AK22" s="2">
        <f t="shared" si="6"/>
        <v>40.958836984881522</v>
      </c>
      <c r="AL22" s="2">
        <f t="shared" si="7"/>
        <v>47.240165838664723</v>
      </c>
      <c r="AM22" s="2">
        <f t="shared" si="8"/>
        <v>21.422570499303053</v>
      </c>
      <c r="AN22" s="2">
        <f t="shared" si="9"/>
        <v>59.091490046106024</v>
      </c>
      <c r="AO22" s="2">
        <f t="shared" si="10"/>
        <v>19.009117552450054</v>
      </c>
      <c r="AP22" s="2">
        <f t="shared" si="11"/>
        <v>59.796472354265703</v>
      </c>
      <c r="AQ22" s="2">
        <f t="shared" si="12"/>
        <v>43.613635226419824</v>
      </c>
      <c r="AR22" s="2">
        <f t="shared" si="13"/>
        <v>55.884138103577691</v>
      </c>
      <c r="AS22" s="2">
        <f t="shared" si="14"/>
        <v>24.280606883734233</v>
      </c>
      <c r="AT22" s="2">
        <f t="shared" si="15"/>
        <v>14.137753314986242</v>
      </c>
      <c r="AU22" s="2">
        <f t="shared" si="16"/>
        <v>55.776167840165847</v>
      </c>
      <c r="AV22" s="2">
        <f t="shared" si="17"/>
        <v>7.9643947246148912</v>
      </c>
      <c r="AW22" s="2">
        <f t="shared" si="18"/>
        <v>45.144272490081853</v>
      </c>
      <c r="AX22" s="2">
        <f t="shared" si="19"/>
        <v>48.739047142499743</v>
      </c>
      <c r="AY22" s="2">
        <f t="shared" si="20"/>
        <v>17.630908895957685</v>
      </c>
      <c r="AZ22" s="2">
        <f t="shared" si="21"/>
        <v>54.035941241645524</v>
      </c>
      <c r="BA22" s="2">
        <f t="shared" si="22"/>
        <v>11.991050430680154</v>
      </c>
      <c r="BB22" s="2">
        <f t="shared" si="23"/>
        <v>18.780474641695559</v>
      </c>
      <c r="BC22" s="2">
        <f t="shared" si="24"/>
        <v>52.829214768219032</v>
      </c>
      <c r="BD22" s="2">
        <f t="shared" si="25"/>
        <v>12.473741020050754</v>
      </c>
      <c r="BG22" s="49">
        <v>13</v>
      </c>
      <c r="BH22">
        <v>18</v>
      </c>
      <c r="BI22">
        <v>18</v>
      </c>
      <c r="BJ22">
        <v>18</v>
      </c>
      <c r="BK22">
        <v>18</v>
      </c>
      <c r="BL22">
        <v>18</v>
      </c>
      <c r="BM22">
        <v>6</v>
      </c>
      <c r="BN22">
        <v>6</v>
      </c>
      <c r="BO22">
        <v>18</v>
      </c>
      <c r="BP22">
        <v>18</v>
      </c>
      <c r="BQ22">
        <v>18</v>
      </c>
      <c r="BR22">
        <v>18</v>
      </c>
      <c r="BS22">
        <v>18</v>
      </c>
      <c r="BT22">
        <v>13</v>
      </c>
      <c r="BU22">
        <v>18</v>
      </c>
      <c r="BV22">
        <v>6</v>
      </c>
      <c r="BW22">
        <v>17</v>
      </c>
      <c r="BX22">
        <v>17</v>
      </c>
      <c r="BY22">
        <v>18</v>
      </c>
      <c r="BZ22">
        <v>18</v>
      </c>
      <c r="CA22">
        <v>6</v>
      </c>
      <c r="CC22" s="49">
        <v>13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189.0582490439258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71.015390114014082</v>
      </c>
      <c r="CU22">
        <v>526.645868329819</v>
      </c>
      <c r="CV22">
        <v>0</v>
      </c>
      <c r="CW22">
        <v>0</v>
      </c>
      <c r="CY22" s="49">
        <v>13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203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83</v>
      </c>
      <c r="DQ22">
        <v>540</v>
      </c>
      <c r="DR22">
        <v>0</v>
      </c>
      <c r="DS22">
        <v>0</v>
      </c>
      <c r="DU22" s="49">
        <v>13</v>
      </c>
      <c r="DV22" s="2">
        <f t="shared" si="26"/>
        <v>0</v>
      </c>
      <c r="DW22" s="2">
        <f t="shared" si="27"/>
        <v>0</v>
      </c>
      <c r="DX22" s="2">
        <f t="shared" si="28"/>
        <v>0</v>
      </c>
      <c r="DY22" s="2">
        <f t="shared" si="29"/>
        <v>0</v>
      </c>
      <c r="DZ22" s="2">
        <f t="shared" si="30"/>
        <v>0</v>
      </c>
      <c r="EA22" s="2">
        <f t="shared" si="31"/>
        <v>17376800</v>
      </c>
      <c r="EB22" s="2">
        <f t="shared" si="32"/>
        <v>0</v>
      </c>
      <c r="EC22" s="2">
        <f t="shared" si="33"/>
        <v>0</v>
      </c>
      <c r="ED22" s="2">
        <f t="shared" si="34"/>
        <v>0</v>
      </c>
      <c r="EE22" s="2">
        <f t="shared" si="35"/>
        <v>0</v>
      </c>
      <c r="EF22" s="2">
        <f t="shared" si="36"/>
        <v>0</v>
      </c>
      <c r="EG22" s="2">
        <f t="shared" si="37"/>
        <v>0</v>
      </c>
      <c r="EH22" s="2">
        <f t="shared" si="38"/>
        <v>0</v>
      </c>
      <c r="EI22" s="2">
        <f t="shared" si="39"/>
        <v>0</v>
      </c>
      <c r="EJ22" s="2">
        <f t="shared" si="40"/>
        <v>0</v>
      </c>
      <c r="EK22" s="2">
        <f t="shared" si="41"/>
        <v>0</v>
      </c>
      <c r="EL22" s="2">
        <f t="shared" si="42"/>
        <v>7104800</v>
      </c>
      <c r="EM22" s="2">
        <f t="shared" si="43"/>
        <v>46224000</v>
      </c>
      <c r="EN22" s="2">
        <f t="shared" si="44"/>
        <v>0</v>
      </c>
      <c r="EO22" s="2">
        <f t="shared" si="45"/>
        <v>0</v>
      </c>
      <c r="EQ22" s="49">
        <v>13</v>
      </c>
      <c r="ER22" s="2">
        <f t="shared" si="46"/>
        <v>0</v>
      </c>
      <c r="ES22" s="2">
        <f t="shared" si="47"/>
        <v>0</v>
      </c>
      <c r="ET22" s="2">
        <f t="shared" si="48"/>
        <v>0</v>
      </c>
      <c r="EU22" s="2">
        <f t="shared" si="49"/>
        <v>0</v>
      </c>
      <c r="EV22" s="2">
        <f t="shared" si="50"/>
        <v>0</v>
      </c>
      <c r="EW22" s="2">
        <f t="shared" si="51"/>
        <v>17392800</v>
      </c>
      <c r="EX22" s="2">
        <f t="shared" si="52"/>
        <v>0</v>
      </c>
      <c r="EY22" s="2">
        <f t="shared" si="53"/>
        <v>0</v>
      </c>
      <c r="EZ22" s="2">
        <f t="shared" si="54"/>
        <v>0</v>
      </c>
      <c r="FA22" s="2">
        <f t="shared" si="55"/>
        <v>0</v>
      </c>
      <c r="FB22" s="2">
        <f t="shared" si="56"/>
        <v>0</v>
      </c>
      <c r="FC22" s="2">
        <f t="shared" si="57"/>
        <v>0</v>
      </c>
      <c r="FD22" s="2">
        <f t="shared" si="58"/>
        <v>0</v>
      </c>
      <c r="FE22" s="2">
        <f t="shared" si="59"/>
        <v>0</v>
      </c>
      <c r="FF22" s="2">
        <f t="shared" si="60"/>
        <v>0</v>
      </c>
      <c r="FG22" s="2">
        <f t="shared" si="61"/>
        <v>0</v>
      </c>
      <c r="FH22" s="2">
        <f t="shared" si="62"/>
        <v>7120800</v>
      </c>
      <c r="FI22" s="2">
        <f t="shared" si="63"/>
        <v>46240000</v>
      </c>
      <c r="FJ22" s="2">
        <f t="shared" si="64"/>
        <v>0</v>
      </c>
      <c r="FK22" s="2">
        <f t="shared" si="65"/>
        <v>0</v>
      </c>
    </row>
    <row r="23" spans="1:167" x14ac:dyDescent="0.3">
      <c r="A23" s="9">
        <v>15</v>
      </c>
      <c r="B23" s="11">
        <v>2776</v>
      </c>
      <c r="D23" s="29">
        <v>2.4804317523857179E-2</v>
      </c>
      <c r="G23" s="18">
        <v>15</v>
      </c>
      <c r="H23" s="15"/>
      <c r="I23" s="2">
        <v>42.683619260787964</v>
      </c>
      <c r="J23" s="2"/>
      <c r="K23" s="2">
        <v>34.351867437362671</v>
      </c>
      <c r="L23" s="2">
        <v>16.549736261367798</v>
      </c>
      <c r="M23" s="2">
        <v>17.39012598991394</v>
      </c>
      <c r="N23" s="2">
        <v>24.489766359329224</v>
      </c>
      <c r="O23" s="2">
        <v>34.211724996566772</v>
      </c>
      <c r="P23" s="2">
        <v>84.136110544204712</v>
      </c>
      <c r="Q23" s="2">
        <v>45.296400785446167</v>
      </c>
      <c r="R23" s="2">
        <v>52.306395769119263</v>
      </c>
      <c r="S23" s="2"/>
      <c r="T23" s="2"/>
      <c r="U23" s="2"/>
      <c r="V23" s="2">
        <v>0</v>
      </c>
      <c r="W23" s="2"/>
      <c r="X23" s="2"/>
      <c r="Y23" s="2"/>
      <c r="Z23" s="2">
        <v>33.646470308303833</v>
      </c>
      <c r="AA23" s="2"/>
      <c r="AC23" s="39">
        <f t="shared" si="1"/>
        <v>385.06221771240234</v>
      </c>
      <c r="AD23" s="2">
        <f t="shared" si="2"/>
        <v>10</v>
      </c>
      <c r="AF23" s="2">
        <v>18</v>
      </c>
      <c r="AG23" s="2">
        <f t="shared" si="0"/>
        <v>295.7</v>
      </c>
      <c r="AJ23" s="49">
        <v>14</v>
      </c>
      <c r="AK23" s="2">
        <f t="shared" si="6"/>
        <v>44.220331319918522</v>
      </c>
      <c r="AL23" s="2">
        <f t="shared" si="7"/>
        <v>51.001833517995657</v>
      </c>
      <c r="AM23" s="2">
        <f t="shared" si="8"/>
        <v>23.128419528932415</v>
      </c>
      <c r="AN23" s="2">
        <f t="shared" si="9"/>
        <v>63.796861932163424</v>
      </c>
      <c r="AO23" s="2">
        <f t="shared" si="10"/>
        <v>20.522786732906823</v>
      </c>
      <c r="AP23" s="2">
        <f t="shared" si="11"/>
        <v>64.557980985739306</v>
      </c>
      <c r="AQ23" s="2">
        <f t="shared" si="12"/>
        <v>47.086527395546668</v>
      </c>
      <c r="AR23" s="2">
        <f t="shared" si="13"/>
        <v>60.334113084813616</v>
      </c>
      <c r="AS23" s="2">
        <f t="shared" si="14"/>
        <v>26.214037313699563</v>
      </c>
      <c r="AT23" s="2">
        <f t="shared" si="15"/>
        <v>15.263522641981488</v>
      </c>
      <c r="AU23" s="2">
        <f t="shared" si="16"/>
        <v>60.217545301833525</v>
      </c>
      <c r="AV23" s="2">
        <f t="shared" si="17"/>
        <v>8.5985882268844502</v>
      </c>
      <c r="AW23" s="2">
        <f t="shared" si="18"/>
        <v>48.739047142499736</v>
      </c>
      <c r="AX23" s="2">
        <f t="shared" si="19"/>
        <v>52.620068622895751</v>
      </c>
      <c r="AY23" s="2">
        <f t="shared" si="20"/>
        <v>19.034833267808001</v>
      </c>
      <c r="AZ23" s="2">
        <f t="shared" si="21"/>
        <v>58.338746917330859</v>
      </c>
      <c r="BA23" s="2">
        <f t="shared" si="22"/>
        <v>12.945880839200832</v>
      </c>
      <c r="BB23" s="2">
        <f t="shared" si="23"/>
        <v>20.275937310125453</v>
      </c>
      <c r="BC23" s="2">
        <f t="shared" si="24"/>
        <v>57.035930519318072</v>
      </c>
      <c r="BD23" s="2">
        <f t="shared" si="25"/>
        <v>13.467007398405949</v>
      </c>
      <c r="BG23" s="49">
        <v>14</v>
      </c>
      <c r="BH23">
        <v>9</v>
      </c>
      <c r="BI23">
        <v>2</v>
      </c>
      <c r="BJ23">
        <v>4</v>
      </c>
      <c r="BK23">
        <v>4</v>
      </c>
      <c r="BL23">
        <v>5</v>
      </c>
      <c r="BM23">
        <v>9</v>
      </c>
      <c r="BN23">
        <v>9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4</v>
      </c>
      <c r="BU23">
        <v>14</v>
      </c>
      <c r="BV23">
        <v>4</v>
      </c>
      <c r="BW23">
        <v>9</v>
      </c>
      <c r="BX23">
        <v>9</v>
      </c>
      <c r="BY23">
        <v>4</v>
      </c>
      <c r="BZ23">
        <v>4</v>
      </c>
      <c r="CA23">
        <v>9</v>
      </c>
      <c r="CC23" s="49">
        <v>14</v>
      </c>
      <c r="CD23">
        <v>0</v>
      </c>
      <c r="CE23">
        <v>51.001833517995657</v>
      </c>
      <c r="CF23">
        <v>0</v>
      </c>
      <c r="CG23">
        <v>232.0110297008471</v>
      </c>
      <c r="CH23">
        <v>20.52278673290682</v>
      </c>
      <c r="CI23">
        <v>0</v>
      </c>
      <c r="CJ23">
        <v>0</v>
      </c>
      <c r="CK23">
        <v>0</v>
      </c>
      <c r="CL23">
        <v>411.24428142535481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Y23" s="49">
        <v>14</v>
      </c>
      <c r="CZ23">
        <v>0</v>
      </c>
      <c r="DA23">
        <v>62</v>
      </c>
      <c r="DB23">
        <v>0</v>
      </c>
      <c r="DC23">
        <v>247</v>
      </c>
      <c r="DD23">
        <v>29</v>
      </c>
      <c r="DE23">
        <v>0</v>
      </c>
      <c r="DF23">
        <v>0</v>
      </c>
      <c r="DG23">
        <v>0</v>
      </c>
      <c r="DH23">
        <v>426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U23" s="49">
        <v>14</v>
      </c>
      <c r="DV23" s="2">
        <f t="shared" si="26"/>
        <v>0</v>
      </c>
      <c r="DW23" s="2">
        <f t="shared" si="27"/>
        <v>5307200</v>
      </c>
      <c r="DX23" s="2">
        <f t="shared" si="28"/>
        <v>0</v>
      </c>
      <c r="DY23" s="2">
        <f t="shared" si="29"/>
        <v>21143200</v>
      </c>
      <c r="DZ23" s="2">
        <f t="shared" si="30"/>
        <v>2482400</v>
      </c>
      <c r="EA23" s="2">
        <f t="shared" si="31"/>
        <v>0</v>
      </c>
      <c r="EB23" s="2">
        <f t="shared" si="32"/>
        <v>0</v>
      </c>
      <c r="EC23" s="2">
        <f t="shared" si="33"/>
        <v>0</v>
      </c>
      <c r="ED23" s="2">
        <f t="shared" si="34"/>
        <v>36465600</v>
      </c>
      <c r="EE23" s="2">
        <f t="shared" si="35"/>
        <v>0</v>
      </c>
      <c r="EF23" s="2">
        <f t="shared" si="36"/>
        <v>0</v>
      </c>
      <c r="EG23" s="2">
        <f t="shared" si="37"/>
        <v>0</v>
      </c>
      <c r="EH23" s="2">
        <f t="shared" si="38"/>
        <v>0</v>
      </c>
      <c r="EI23" s="2">
        <f t="shared" si="39"/>
        <v>0</v>
      </c>
      <c r="EJ23" s="2">
        <f t="shared" si="40"/>
        <v>0</v>
      </c>
      <c r="EK23" s="2">
        <f t="shared" si="41"/>
        <v>0</v>
      </c>
      <c r="EL23" s="2">
        <f t="shared" si="42"/>
        <v>0</v>
      </c>
      <c r="EM23" s="2">
        <f t="shared" si="43"/>
        <v>0</v>
      </c>
      <c r="EN23" s="2">
        <f t="shared" si="44"/>
        <v>0</v>
      </c>
      <c r="EO23" s="2">
        <f t="shared" si="45"/>
        <v>0</v>
      </c>
      <c r="EQ23" s="49">
        <v>14</v>
      </c>
      <c r="ER23" s="2">
        <f t="shared" si="46"/>
        <v>0</v>
      </c>
      <c r="ES23" s="2">
        <f t="shared" si="47"/>
        <v>5323200</v>
      </c>
      <c r="ET23" s="2">
        <f t="shared" si="48"/>
        <v>0</v>
      </c>
      <c r="EU23" s="2">
        <f t="shared" si="49"/>
        <v>21159200</v>
      </c>
      <c r="EV23" s="2">
        <f t="shared" si="50"/>
        <v>2498400</v>
      </c>
      <c r="EW23" s="2">
        <f t="shared" si="51"/>
        <v>0</v>
      </c>
      <c r="EX23" s="2">
        <f t="shared" si="52"/>
        <v>0</v>
      </c>
      <c r="EY23" s="2">
        <f t="shared" si="53"/>
        <v>0</v>
      </c>
      <c r="EZ23" s="2">
        <f t="shared" si="54"/>
        <v>36481600</v>
      </c>
      <c r="FA23" s="2">
        <f t="shared" si="55"/>
        <v>0</v>
      </c>
      <c r="FB23" s="2">
        <f t="shared" si="56"/>
        <v>0</v>
      </c>
      <c r="FC23" s="2">
        <f t="shared" si="57"/>
        <v>0</v>
      </c>
      <c r="FD23" s="2">
        <f t="shared" si="58"/>
        <v>0</v>
      </c>
      <c r="FE23" s="2">
        <f t="shared" si="59"/>
        <v>0</v>
      </c>
      <c r="FF23" s="2">
        <f t="shared" si="60"/>
        <v>0</v>
      </c>
      <c r="FG23" s="2">
        <f t="shared" si="61"/>
        <v>0</v>
      </c>
      <c r="FH23" s="2">
        <f t="shared" si="62"/>
        <v>0</v>
      </c>
      <c r="FI23" s="2">
        <f t="shared" si="63"/>
        <v>0</v>
      </c>
      <c r="FJ23" s="2">
        <f t="shared" si="64"/>
        <v>0</v>
      </c>
      <c r="FK23" s="2">
        <f t="shared" si="65"/>
        <v>0</v>
      </c>
    </row>
    <row r="24" spans="1:167" x14ac:dyDescent="0.3">
      <c r="A24" s="9">
        <v>16</v>
      </c>
      <c r="B24" s="11">
        <v>8508</v>
      </c>
      <c r="D24" s="29">
        <v>7.6021301690553628E-2</v>
      </c>
      <c r="G24" s="18">
        <v>16</v>
      </c>
      <c r="H24" s="15"/>
      <c r="I24" s="2"/>
      <c r="J24" s="2"/>
      <c r="K24" s="2"/>
      <c r="L24" s="2">
        <v>45.732218027114868</v>
      </c>
      <c r="M24" s="2"/>
      <c r="N24" s="2">
        <v>67.372351884841919</v>
      </c>
      <c r="O24" s="2">
        <v>26.11202597618103</v>
      </c>
      <c r="P24" s="2"/>
      <c r="Q24" s="2">
        <v>54.25984263420105</v>
      </c>
      <c r="R24" s="2">
        <v>75.653153657913208</v>
      </c>
      <c r="S24" s="2">
        <v>68.705648183822632</v>
      </c>
      <c r="T24" s="2">
        <v>60.792356729507446</v>
      </c>
      <c r="U24" s="2"/>
      <c r="V24" s="2"/>
      <c r="W24" s="2">
        <v>0</v>
      </c>
      <c r="X24" s="2">
        <v>41.145128011703491</v>
      </c>
      <c r="Y24" s="2"/>
      <c r="Z24" s="2"/>
      <c r="AA24" s="2"/>
      <c r="AC24" s="39">
        <f t="shared" si="1"/>
        <v>439.77272510528564</v>
      </c>
      <c r="AD24" s="2">
        <f t="shared" si="2"/>
        <v>8</v>
      </c>
      <c r="AF24" s="2">
        <v>19</v>
      </c>
      <c r="AG24" s="2">
        <f t="shared" si="0"/>
        <v>831.80000000000007</v>
      </c>
      <c r="AJ24" s="49">
        <v>15</v>
      </c>
      <c r="AK24" s="2">
        <f t="shared" si="6"/>
        <v>15.996304371135496</v>
      </c>
      <c r="AL24" s="2">
        <f t="shared" si="7"/>
        <v>18.449451374244973</v>
      </c>
      <c r="AM24" s="2">
        <f t="shared" si="8"/>
        <v>8.3664963007970279</v>
      </c>
      <c r="AN24" s="2">
        <f t="shared" si="9"/>
        <v>23.077937024196725</v>
      </c>
      <c r="AO24" s="2">
        <f t="shared" si="10"/>
        <v>7.4239322348904544</v>
      </c>
      <c r="AP24" s="2">
        <f t="shared" si="11"/>
        <v>23.353264948711534</v>
      </c>
      <c r="AQ24" s="2">
        <f t="shared" si="12"/>
        <v>17.033124843632727</v>
      </c>
      <c r="AR24" s="2">
        <f t="shared" si="13"/>
        <v>21.825318989241932</v>
      </c>
      <c r="AS24" s="2">
        <f t="shared" si="14"/>
        <v>9.4826905893706002</v>
      </c>
      <c r="AT24" s="2">
        <f t="shared" si="15"/>
        <v>5.5214410808106082</v>
      </c>
      <c r="AU24" s="2">
        <f t="shared" si="16"/>
        <v>21.783151649451376</v>
      </c>
      <c r="AV24" s="2">
        <f t="shared" si="17"/>
        <v>3.1104614174916905</v>
      </c>
      <c r="AW24" s="2">
        <f t="shared" si="18"/>
        <v>17.630908895957685</v>
      </c>
      <c r="AX24" s="2">
        <f t="shared" si="19"/>
        <v>19.034833267808001</v>
      </c>
      <c r="AY24" s="2">
        <f t="shared" si="20"/>
        <v>6.8856785446227535</v>
      </c>
      <c r="AZ24" s="2">
        <f t="shared" si="21"/>
        <v>21.103513349297689</v>
      </c>
      <c r="BA24" s="2">
        <f t="shared" si="22"/>
        <v>4.683055148504236</v>
      </c>
      <c r="BB24" s="2">
        <f t="shared" si="23"/>
        <v>7.334636691804568</v>
      </c>
      <c r="BC24" s="2">
        <f t="shared" si="24"/>
        <v>20.632231316344406</v>
      </c>
      <c r="BD24" s="2">
        <f t="shared" si="25"/>
        <v>4.8715679616855505</v>
      </c>
      <c r="BG24" s="49">
        <v>15</v>
      </c>
      <c r="BH24">
        <v>8</v>
      </c>
      <c r="BI24">
        <v>2</v>
      </c>
      <c r="BJ24">
        <v>6</v>
      </c>
      <c r="BK24">
        <v>4</v>
      </c>
      <c r="BL24">
        <v>5</v>
      </c>
      <c r="BM24">
        <v>6</v>
      </c>
      <c r="BN24">
        <v>6</v>
      </c>
      <c r="BO24">
        <v>8</v>
      </c>
      <c r="BP24">
        <v>8</v>
      </c>
      <c r="BQ24">
        <v>6</v>
      </c>
      <c r="BR24">
        <v>8</v>
      </c>
      <c r="BS24">
        <v>6</v>
      </c>
      <c r="BT24">
        <v>6</v>
      </c>
      <c r="BU24">
        <v>4</v>
      </c>
      <c r="BV24">
        <v>15</v>
      </c>
      <c r="BW24">
        <v>8</v>
      </c>
      <c r="BX24">
        <v>6</v>
      </c>
      <c r="BY24">
        <v>6</v>
      </c>
      <c r="BZ24">
        <v>19</v>
      </c>
      <c r="CA24">
        <v>6</v>
      </c>
      <c r="CC24" s="49">
        <v>15</v>
      </c>
      <c r="CD24">
        <v>0</v>
      </c>
      <c r="CE24">
        <v>18.449451374244969</v>
      </c>
      <c r="CF24">
        <v>0</v>
      </c>
      <c r="CG24">
        <v>42.112770292004733</v>
      </c>
      <c r="CH24">
        <v>32.602722577647533</v>
      </c>
      <c r="CI24">
        <v>117.08374763215269</v>
      </c>
      <c r="CJ24">
        <v>0</v>
      </c>
      <c r="CK24">
        <v>90.19097894849709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20.632231316344409</v>
      </c>
      <c r="CW24">
        <v>0</v>
      </c>
      <c r="CY24" s="49">
        <v>15</v>
      </c>
      <c r="CZ24">
        <v>0</v>
      </c>
      <c r="DA24">
        <v>27</v>
      </c>
      <c r="DB24">
        <v>0</v>
      </c>
      <c r="DC24">
        <v>52</v>
      </c>
      <c r="DD24">
        <v>42</v>
      </c>
      <c r="DE24">
        <v>130</v>
      </c>
      <c r="DF24">
        <v>0</v>
      </c>
      <c r="DG24">
        <v>103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29</v>
      </c>
      <c r="DS24">
        <v>0</v>
      </c>
      <c r="DU24" s="49">
        <v>15</v>
      </c>
      <c r="DV24" s="2">
        <f t="shared" si="26"/>
        <v>0</v>
      </c>
      <c r="DW24" s="2">
        <f t="shared" si="27"/>
        <v>2311200</v>
      </c>
      <c r="DX24" s="2">
        <f t="shared" si="28"/>
        <v>0</v>
      </c>
      <c r="DY24" s="2">
        <f t="shared" si="29"/>
        <v>4451200</v>
      </c>
      <c r="DZ24" s="2">
        <f t="shared" si="30"/>
        <v>3595200</v>
      </c>
      <c r="EA24" s="2">
        <f t="shared" si="31"/>
        <v>11128000</v>
      </c>
      <c r="EB24" s="2">
        <f t="shared" si="32"/>
        <v>0</v>
      </c>
      <c r="EC24" s="2">
        <f t="shared" si="33"/>
        <v>8816800</v>
      </c>
      <c r="ED24" s="2">
        <f t="shared" si="34"/>
        <v>0</v>
      </c>
      <c r="EE24" s="2">
        <f t="shared" si="35"/>
        <v>0</v>
      </c>
      <c r="EF24" s="2">
        <f t="shared" si="36"/>
        <v>0</v>
      </c>
      <c r="EG24" s="2">
        <f t="shared" si="37"/>
        <v>0</v>
      </c>
      <c r="EH24" s="2">
        <f t="shared" si="38"/>
        <v>0</v>
      </c>
      <c r="EI24" s="2">
        <f t="shared" si="39"/>
        <v>0</v>
      </c>
      <c r="EJ24" s="2">
        <f t="shared" si="40"/>
        <v>0</v>
      </c>
      <c r="EK24" s="2">
        <f t="shared" si="41"/>
        <v>0</v>
      </c>
      <c r="EL24" s="2">
        <f t="shared" si="42"/>
        <v>0</v>
      </c>
      <c r="EM24" s="2">
        <f t="shared" si="43"/>
        <v>0</v>
      </c>
      <c r="EN24" s="2">
        <f t="shared" si="44"/>
        <v>2482400</v>
      </c>
      <c r="EO24" s="2">
        <f t="shared" si="45"/>
        <v>0</v>
      </c>
      <c r="EQ24" s="49">
        <v>15</v>
      </c>
      <c r="ER24" s="2">
        <f t="shared" si="46"/>
        <v>0</v>
      </c>
      <c r="ES24" s="2">
        <f t="shared" si="47"/>
        <v>2327200</v>
      </c>
      <c r="ET24" s="2">
        <f t="shared" si="48"/>
        <v>0</v>
      </c>
      <c r="EU24" s="2">
        <f t="shared" si="49"/>
        <v>4467200</v>
      </c>
      <c r="EV24" s="2">
        <f t="shared" si="50"/>
        <v>3611200</v>
      </c>
      <c r="EW24" s="2">
        <f t="shared" si="51"/>
        <v>11144000</v>
      </c>
      <c r="EX24" s="2">
        <f t="shared" si="52"/>
        <v>0</v>
      </c>
      <c r="EY24" s="2">
        <f t="shared" si="53"/>
        <v>8832800</v>
      </c>
      <c r="EZ24" s="2">
        <f t="shared" si="54"/>
        <v>0</v>
      </c>
      <c r="FA24" s="2">
        <f t="shared" si="55"/>
        <v>0</v>
      </c>
      <c r="FB24" s="2">
        <f t="shared" si="56"/>
        <v>0</v>
      </c>
      <c r="FC24" s="2">
        <f t="shared" si="57"/>
        <v>0</v>
      </c>
      <c r="FD24" s="2">
        <f t="shared" si="58"/>
        <v>0</v>
      </c>
      <c r="FE24" s="2">
        <f t="shared" si="59"/>
        <v>0</v>
      </c>
      <c r="FF24" s="2">
        <f t="shared" si="60"/>
        <v>0</v>
      </c>
      <c r="FG24" s="2">
        <f t="shared" si="61"/>
        <v>0</v>
      </c>
      <c r="FH24" s="2">
        <f t="shared" si="62"/>
        <v>0</v>
      </c>
      <c r="FI24" s="2">
        <f t="shared" si="63"/>
        <v>0</v>
      </c>
      <c r="FJ24" s="2">
        <f t="shared" si="64"/>
        <v>2498400</v>
      </c>
      <c r="FK24" s="2">
        <f t="shared" si="65"/>
        <v>0</v>
      </c>
    </row>
    <row r="25" spans="1:167" x14ac:dyDescent="0.3">
      <c r="A25" s="9">
        <v>17</v>
      </c>
      <c r="B25" s="11">
        <v>1888</v>
      </c>
      <c r="D25" s="29">
        <v>1.6869795203545517E-2</v>
      </c>
      <c r="G25" s="18">
        <v>17</v>
      </c>
      <c r="H25" s="15"/>
      <c r="I25" s="2">
        <v>44.285124540328979</v>
      </c>
      <c r="J25" s="2"/>
      <c r="K25" s="2"/>
      <c r="L25" s="2">
        <v>33.851772546768188</v>
      </c>
      <c r="M25" s="2"/>
      <c r="N25" s="2">
        <v>15.407830476760864</v>
      </c>
      <c r="O25" s="2">
        <v>55.013364553451538</v>
      </c>
      <c r="P25" s="2">
        <v>94.202429056167603</v>
      </c>
      <c r="Q25" s="2"/>
      <c r="R25" s="2">
        <v>69.631320238113403</v>
      </c>
      <c r="S25" s="2"/>
      <c r="T25" s="2">
        <v>17.750412225723267</v>
      </c>
      <c r="U25" s="2">
        <v>94.993084669113159</v>
      </c>
      <c r="V25" s="2"/>
      <c r="W25" s="2">
        <v>41.145128011703491</v>
      </c>
      <c r="X25" s="2">
        <v>0</v>
      </c>
      <c r="Y25" s="2"/>
      <c r="Z25" s="2"/>
      <c r="AA25" s="2">
        <v>32.323318719863892</v>
      </c>
      <c r="AC25" s="39">
        <f t="shared" si="1"/>
        <v>498.60378503799438</v>
      </c>
      <c r="AD25" s="2">
        <f t="shared" si="2"/>
        <v>10</v>
      </c>
      <c r="AF25" s="2">
        <v>20</v>
      </c>
      <c r="AG25" s="2">
        <f t="shared" si="0"/>
        <v>196.4</v>
      </c>
      <c r="AJ25" s="49">
        <v>16</v>
      </c>
      <c r="AK25" s="2">
        <f t="shared" si="6"/>
        <v>49.02613746023804</v>
      </c>
      <c r="AL25" s="2">
        <f t="shared" si="7"/>
        <v>56.544644197433804</v>
      </c>
      <c r="AM25" s="2">
        <f t="shared" si="8"/>
        <v>25.641985060223742</v>
      </c>
      <c r="AN25" s="2">
        <f t="shared" si="9"/>
        <v>70.730219092891119</v>
      </c>
      <c r="AO25" s="2">
        <f t="shared" si="10"/>
        <v>22.753175595982704</v>
      </c>
      <c r="AP25" s="2">
        <f t="shared" si="11"/>
        <v>71.57405554165625</v>
      </c>
      <c r="AQ25" s="2">
        <f t="shared" si="12"/>
        <v>52.203827870903183</v>
      </c>
      <c r="AR25" s="2">
        <f t="shared" si="13"/>
        <v>66.891143357518146</v>
      </c>
      <c r="AS25" s="2">
        <f t="shared" si="14"/>
        <v>29.062943636298655</v>
      </c>
      <c r="AT25" s="2">
        <f t="shared" si="15"/>
        <v>16.922341756317241</v>
      </c>
      <c r="AU25" s="2">
        <f t="shared" si="16"/>
        <v>66.761907144644198</v>
      </c>
      <c r="AV25" s="2">
        <f t="shared" si="17"/>
        <v>9.5330712319954269</v>
      </c>
      <c r="AW25" s="2">
        <f t="shared" si="18"/>
        <v>54.035941241645524</v>
      </c>
      <c r="AX25" s="2">
        <f t="shared" si="19"/>
        <v>58.338746917330866</v>
      </c>
      <c r="AY25" s="2">
        <f t="shared" si="20"/>
        <v>21.103513349297689</v>
      </c>
      <c r="AZ25" s="2">
        <f t="shared" si="21"/>
        <v>64.678923478323028</v>
      </c>
      <c r="BA25" s="2">
        <f t="shared" si="22"/>
        <v>14.352821759176527</v>
      </c>
      <c r="BB25" s="2">
        <f t="shared" si="23"/>
        <v>22.479498909896709</v>
      </c>
      <c r="BC25" s="2">
        <f t="shared" si="24"/>
        <v>63.234518746202518</v>
      </c>
      <c r="BD25" s="2">
        <f t="shared" si="25"/>
        <v>14.930583652024735</v>
      </c>
      <c r="BG25" s="49">
        <v>16</v>
      </c>
      <c r="BH25">
        <v>8</v>
      </c>
      <c r="BI25">
        <v>8</v>
      </c>
      <c r="BJ25">
        <v>8</v>
      </c>
      <c r="BK25">
        <v>8</v>
      </c>
      <c r="BL25">
        <v>5</v>
      </c>
      <c r="BM25">
        <v>8</v>
      </c>
      <c r="BN25">
        <v>8</v>
      </c>
      <c r="BO25">
        <v>8</v>
      </c>
      <c r="BP25">
        <v>8</v>
      </c>
      <c r="BQ25">
        <v>8</v>
      </c>
      <c r="BR25">
        <v>8</v>
      </c>
      <c r="BS25">
        <v>8</v>
      </c>
      <c r="BT25">
        <v>17</v>
      </c>
      <c r="BU25">
        <v>8</v>
      </c>
      <c r="BV25">
        <v>8</v>
      </c>
      <c r="BW25">
        <v>16</v>
      </c>
      <c r="BX25">
        <v>17</v>
      </c>
      <c r="BY25">
        <v>8</v>
      </c>
      <c r="BZ25">
        <v>8</v>
      </c>
      <c r="CA25">
        <v>8</v>
      </c>
      <c r="CC25" s="49">
        <v>16</v>
      </c>
      <c r="CD25">
        <v>0</v>
      </c>
      <c r="CE25">
        <v>0</v>
      </c>
      <c r="CF25">
        <v>0</v>
      </c>
      <c r="CG25">
        <v>0</v>
      </c>
      <c r="CH25">
        <v>22.7531755959827</v>
      </c>
      <c r="CI25">
        <v>0</v>
      </c>
      <c r="CJ25">
        <v>0</v>
      </c>
      <c r="CK25">
        <v>694.97913792487236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68.388763000822053</v>
      </c>
      <c r="CU25">
        <v>0</v>
      </c>
      <c r="CV25">
        <v>0</v>
      </c>
      <c r="CW25">
        <v>0</v>
      </c>
      <c r="CY25" s="49">
        <v>16</v>
      </c>
      <c r="CZ25">
        <v>0</v>
      </c>
      <c r="DA25">
        <v>0</v>
      </c>
      <c r="DB25">
        <v>0</v>
      </c>
      <c r="DC25">
        <v>0</v>
      </c>
      <c r="DD25">
        <v>31</v>
      </c>
      <c r="DE25">
        <v>0</v>
      </c>
      <c r="DF25">
        <v>0</v>
      </c>
      <c r="DG25">
        <v>707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80</v>
      </c>
      <c r="DQ25">
        <v>0</v>
      </c>
      <c r="DR25">
        <v>0</v>
      </c>
      <c r="DS25">
        <v>0</v>
      </c>
      <c r="DU25" s="49">
        <v>16</v>
      </c>
      <c r="DV25" s="2">
        <f t="shared" si="26"/>
        <v>0</v>
      </c>
      <c r="DW25" s="2">
        <f t="shared" si="27"/>
        <v>0</v>
      </c>
      <c r="DX25" s="2">
        <f t="shared" si="28"/>
        <v>0</v>
      </c>
      <c r="DY25" s="2">
        <f t="shared" si="29"/>
        <v>0</v>
      </c>
      <c r="DZ25" s="2">
        <f t="shared" si="30"/>
        <v>2653600</v>
      </c>
      <c r="EA25" s="2">
        <f t="shared" si="31"/>
        <v>0</v>
      </c>
      <c r="EB25" s="2">
        <f t="shared" si="32"/>
        <v>0</v>
      </c>
      <c r="EC25" s="2">
        <f t="shared" si="33"/>
        <v>60519200</v>
      </c>
      <c r="ED25" s="2">
        <f t="shared" si="34"/>
        <v>0</v>
      </c>
      <c r="EE25" s="2">
        <f t="shared" si="35"/>
        <v>0</v>
      </c>
      <c r="EF25" s="2">
        <f t="shared" si="36"/>
        <v>0</v>
      </c>
      <c r="EG25" s="2">
        <f t="shared" si="37"/>
        <v>0</v>
      </c>
      <c r="EH25" s="2">
        <f t="shared" si="38"/>
        <v>0</v>
      </c>
      <c r="EI25" s="2">
        <f t="shared" si="39"/>
        <v>0</v>
      </c>
      <c r="EJ25" s="2">
        <f t="shared" si="40"/>
        <v>0</v>
      </c>
      <c r="EK25" s="2">
        <f t="shared" si="41"/>
        <v>0</v>
      </c>
      <c r="EL25" s="2">
        <f t="shared" si="42"/>
        <v>6848000</v>
      </c>
      <c r="EM25" s="2">
        <f t="shared" si="43"/>
        <v>0</v>
      </c>
      <c r="EN25" s="2">
        <f t="shared" si="44"/>
        <v>0</v>
      </c>
      <c r="EO25" s="2">
        <f t="shared" si="45"/>
        <v>0</v>
      </c>
      <c r="EQ25" s="49">
        <v>16</v>
      </c>
      <c r="ER25" s="2">
        <f t="shared" si="46"/>
        <v>0</v>
      </c>
      <c r="ES25" s="2">
        <f t="shared" si="47"/>
        <v>0</v>
      </c>
      <c r="ET25" s="2">
        <f t="shared" si="48"/>
        <v>0</v>
      </c>
      <c r="EU25" s="2">
        <f t="shared" si="49"/>
        <v>0</v>
      </c>
      <c r="EV25" s="2">
        <f t="shared" si="50"/>
        <v>2669600</v>
      </c>
      <c r="EW25" s="2">
        <f t="shared" si="51"/>
        <v>0</v>
      </c>
      <c r="EX25" s="2">
        <f t="shared" si="52"/>
        <v>0</v>
      </c>
      <c r="EY25" s="2">
        <f t="shared" si="53"/>
        <v>60535200</v>
      </c>
      <c r="EZ25" s="2">
        <f t="shared" si="54"/>
        <v>0</v>
      </c>
      <c r="FA25" s="2">
        <f t="shared" si="55"/>
        <v>0</v>
      </c>
      <c r="FB25" s="2">
        <f t="shared" si="56"/>
        <v>0</v>
      </c>
      <c r="FC25" s="2">
        <f t="shared" si="57"/>
        <v>0</v>
      </c>
      <c r="FD25" s="2">
        <f t="shared" si="58"/>
        <v>0</v>
      </c>
      <c r="FE25" s="2">
        <f t="shared" si="59"/>
        <v>0</v>
      </c>
      <c r="FF25" s="2">
        <f t="shared" si="60"/>
        <v>0</v>
      </c>
      <c r="FG25" s="2">
        <f t="shared" si="61"/>
        <v>0</v>
      </c>
      <c r="FH25" s="2">
        <f t="shared" si="62"/>
        <v>6864000</v>
      </c>
      <c r="FI25" s="2">
        <f t="shared" si="63"/>
        <v>0</v>
      </c>
      <c r="FJ25" s="2">
        <f t="shared" si="64"/>
        <v>0</v>
      </c>
      <c r="FK25" s="2">
        <f t="shared" si="65"/>
        <v>0</v>
      </c>
    </row>
    <row r="26" spans="1:167" x14ac:dyDescent="0.3">
      <c r="A26" s="9">
        <v>18</v>
      </c>
      <c r="B26" s="11">
        <v>2957</v>
      </c>
      <c r="D26" s="29">
        <v>2.6421601915722508E-2</v>
      </c>
      <c r="G26" s="18">
        <v>18</v>
      </c>
      <c r="H26" s="15"/>
      <c r="I26" s="2">
        <v>24.793976545333862</v>
      </c>
      <c r="J26" s="2">
        <v>11.241608858108521</v>
      </c>
      <c r="K26" s="2"/>
      <c r="L26" s="2">
        <v>70.019727945327759</v>
      </c>
      <c r="M26" s="2">
        <v>83.678644895553589</v>
      </c>
      <c r="N26" s="2">
        <v>86.61378026008606</v>
      </c>
      <c r="O26" s="2"/>
      <c r="P26" s="2">
        <v>31.610924005508423</v>
      </c>
      <c r="Q26" s="2"/>
      <c r="R26" s="2">
        <v>47.570973634719849</v>
      </c>
      <c r="S26" s="2"/>
      <c r="T26" s="2">
        <v>6.8388998508453369</v>
      </c>
      <c r="U26" s="2">
        <v>88.684004545211792</v>
      </c>
      <c r="V26" s="2"/>
      <c r="W26" s="2"/>
      <c r="X26" s="2"/>
      <c r="Y26" s="2">
        <v>0</v>
      </c>
      <c r="Z26" s="2"/>
      <c r="AA26" s="2"/>
      <c r="AC26" s="39">
        <f t="shared" si="1"/>
        <v>451.05254054069519</v>
      </c>
      <c r="AD26" s="2">
        <f t="shared" si="2"/>
        <v>9</v>
      </c>
      <c r="AF26" s="2" t="s">
        <v>25</v>
      </c>
      <c r="AG26" s="2">
        <f>SUM(AG6:AG25)</f>
        <v>11191.6</v>
      </c>
      <c r="AJ26" s="49">
        <v>17</v>
      </c>
      <c r="AK26" s="2">
        <f t="shared" si="6"/>
        <v>10.879330926766505</v>
      </c>
      <c r="AL26" s="2">
        <f t="shared" si="7"/>
        <v>12.547753672397159</v>
      </c>
      <c r="AM26" s="2">
        <f t="shared" si="8"/>
        <v>5.6901819221559027</v>
      </c>
      <c r="AN26" s="2">
        <f t="shared" si="9"/>
        <v>15.695657457378751</v>
      </c>
      <c r="AO26" s="2">
        <f t="shared" si="10"/>
        <v>5.0491297044211736</v>
      </c>
      <c r="AP26" s="2">
        <f t="shared" si="11"/>
        <v>15.882912184138105</v>
      </c>
      <c r="AQ26" s="2">
        <f t="shared" si="12"/>
        <v>11.584488366274707</v>
      </c>
      <c r="AR26" s="2">
        <f t="shared" si="13"/>
        <v>14.843732799599701</v>
      </c>
      <c r="AS26" s="2">
        <f t="shared" si="14"/>
        <v>6.4493227063154519</v>
      </c>
      <c r="AT26" s="2">
        <f t="shared" si="15"/>
        <v>3.7552164123092324</v>
      </c>
      <c r="AU26" s="2">
        <f t="shared" si="16"/>
        <v>14.815054147753674</v>
      </c>
      <c r="AV26" s="2">
        <f t="shared" si="17"/>
        <v>2.115472318524608</v>
      </c>
      <c r="AW26" s="2">
        <f t="shared" si="18"/>
        <v>11.991050430680154</v>
      </c>
      <c r="AX26" s="2">
        <f t="shared" si="19"/>
        <v>12.94588083920083</v>
      </c>
      <c r="AY26" s="2">
        <f t="shared" si="20"/>
        <v>4.683055148504236</v>
      </c>
      <c r="AZ26" s="2">
        <f t="shared" si="21"/>
        <v>14.352821759176527</v>
      </c>
      <c r="BA26" s="2">
        <f t="shared" si="22"/>
        <v>3.1850173344293937</v>
      </c>
      <c r="BB26" s="2">
        <f t="shared" si="23"/>
        <v>4.9883984416884095</v>
      </c>
      <c r="BC26" s="2">
        <f t="shared" si="24"/>
        <v>14.032295650309162</v>
      </c>
      <c r="BD26" s="2">
        <f t="shared" si="25"/>
        <v>3.3132277779763397</v>
      </c>
      <c r="BG26" s="49">
        <v>17</v>
      </c>
      <c r="BH26">
        <v>7</v>
      </c>
      <c r="BI26">
        <v>2</v>
      </c>
      <c r="BJ26">
        <v>7</v>
      </c>
      <c r="BK26">
        <v>7</v>
      </c>
      <c r="BL26">
        <v>5</v>
      </c>
      <c r="BM26">
        <v>7</v>
      </c>
      <c r="BN26">
        <v>7</v>
      </c>
      <c r="BO26">
        <v>7</v>
      </c>
      <c r="BP26">
        <v>7</v>
      </c>
      <c r="BQ26">
        <v>7</v>
      </c>
      <c r="BR26">
        <v>7</v>
      </c>
      <c r="BS26">
        <v>7</v>
      </c>
      <c r="BT26">
        <v>13</v>
      </c>
      <c r="BU26">
        <v>7</v>
      </c>
      <c r="BV26">
        <v>7</v>
      </c>
      <c r="BW26">
        <v>16</v>
      </c>
      <c r="BX26">
        <v>17</v>
      </c>
      <c r="BY26">
        <v>13</v>
      </c>
      <c r="BZ26">
        <v>7</v>
      </c>
      <c r="CA26">
        <v>7</v>
      </c>
      <c r="CC26" s="49">
        <v>17</v>
      </c>
      <c r="CD26">
        <v>0</v>
      </c>
      <c r="CE26">
        <v>12.54775367239716</v>
      </c>
      <c r="CF26">
        <v>0</v>
      </c>
      <c r="CG26">
        <v>0</v>
      </c>
      <c r="CH26">
        <v>5.0491297044211736</v>
      </c>
      <c r="CI26">
        <v>0</v>
      </c>
      <c r="CJ26">
        <v>136.6858286572072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71.015390114014082</v>
      </c>
      <c r="CQ26">
        <v>0</v>
      </c>
      <c r="CR26">
        <v>0</v>
      </c>
      <c r="CS26">
        <v>68.388763000822053</v>
      </c>
      <c r="CT26">
        <v>0</v>
      </c>
      <c r="CU26">
        <v>0</v>
      </c>
      <c r="CV26">
        <v>0</v>
      </c>
      <c r="CW26">
        <v>0</v>
      </c>
      <c r="CY26" s="49">
        <v>17</v>
      </c>
      <c r="CZ26">
        <v>0</v>
      </c>
      <c r="DA26">
        <v>20</v>
      </c>
      <c r="DB26">
        <v>0</v>
      </c>
      <c r="DC26">
        <v>0</v>
      </c>
      <c r="DD26">
        <v>10</v>
      </c>
      <c r="DE26">
        <v>0</v>
      </c>
      <c r="DF26">
        <v>150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83</v>
      </c>
      <c r="DM26">
        <v>0</v>
      </c>
      <c r="DN26">
        <v>0</v>
      </c>
      <c r="DO26">
        <v>80</v>
      </c>
      <c r="DP26">
        <v>0</v>
      </c>
      <c r="DQ26">
        <v>0</v>
      </c>
      <c r="DR26">
        <v>0</v>
      </c>
      <c r="DS26">
        <v>0</v>
      </c>
      <c r="DU26" s="49">
        <v>17</v>
      </c>
      <c r="DV26" s="2">
        <f t="shared" si="26"/>
        <v>0</v>
      </c>
      <c r="DW26" s="2">
        <f t="shared" si="27"/>
        <v>1712000</v>
      </c>
      <c r="DX26" s="2">
        <f t="shared" si="28"/>
        <v>0</v>
      </c>
      <c r="DY26" s="2">
        <f t="shared" si="29"/>
        <v>0</v>
      </c>
      <c r="DZ26" s="2">
        <f t="shared" si="30"/>
        <v>856000</v>
      </c>
      <c r="EA26" s="2">
        <f t="shared" si="31"/>
        <v>0</v>
      </c>
      <c r="EB26" s="2">
        <f t="shared" si="32"/>
        <v>12840000</v>
      </c>
      <c r="EC26" s="2">
        <f t="shared" si="33"/>
        <v>0</v>
      </c>
      <c r="ED26" s="2">
        <f t="shared" si="34"/>
        <v>0</v>
      </c>
      <c r="EE26" s="2">
        <f t="shared" si="35"/>
        <v>0</v>
      </c>
      <c r="EF26" s="2">
        <f t="shared" si="36"/>
        <v>0</v>
      </c>
      <c r="EG26" s="2">
        <f t="shared" si="37"/>
        <v>0</v>
      </c>
      <c r="EH26" s="2">
        <f t="shared" si="38"/>
        <v>7104800</v>
      </c>
      <c r="EI26" s="2">
        <f t="shared" si="39"/>
        <v>0</v>
      </c>
      <c r="EJ26" s="2">
        <f t="shared" si="40"/>
        <v>0</v>
      </c>
      <c r="EK26" s="2">
        <f t="shared" si="41"/>
        <v>6848000</v>
      </c>
      <c r="EL26" s="2">
        <f t="shared" si="42"/>
        <v>0</v>
      </c>
      <c r="EM26" s="2">
        <f t="shared" si="43"/>
        <v>0</v>
      </c>
      <c r="EN26" s="2">
        <f t="shared" si="44"/>
        <v>0</v>
      </c>
      <c r="EO26" s="2">
        <f t="shared" si="45"/>
        <v>0</v>
      </c>
      <c r="EQ26" s="49">
        <v>17</v>
      </c>
      <c r="ER26" s="2">
        <f t="shared" si="46"/>
        <v>0</v>
      </c>
      <c r="ES26" s="2">
        <f t="shared" si="47"/>
        <v>1728000</v>
      </c>
      <c r="ET26" s="2">
        <f t="shared" si="48"/>
        <v>0</v>
      </c>
      <c r="EU26" s="2">
        <f t="shared" si="49"/>
        <v>0</v>
      </c>
      <c r="EV26" s="2">
        <f t="shared" si="50"/>
        <v>872000</v>
      </c>
      <c r="EW26" s="2">
        <f t="shared" si="51"/>
        <v>0</v>
      </c>
      <c r="EX26" s="2">
        <f t="shared" si="52"/>
        <v>12856000</v>
      </c>
      <c r="EY26" s="2">
        <f t="shared" si="53"/>
        <v>0</v>
      </c>
      <c r="EZ26" s="2">
        <f t="shared" si="54"/>
        <v>0</v>
      </c>
      <c r="FA26" s="2">
        <f t="shared" si="55"/>
        <v>0</v>
      </c>
      <c r="FB26" s="2">
        <f t="shared" si="56"/>
        <v>0</v>
      </c>
      <c r="FC26" s="2">
        <f t="shared" si="57"/>
        <v>0</v>
      </c>
      <c r="FD26" s="2">
        <f t="shared" si="58"/>
        <v>7120800</v>
      </c>
      <c r="FE26" s="2">
        <f t="shared" si="59"/>
        <v>0</v>
      </c>
      <c r="FF26" s="2">
        <f t="shared" si="60"/>
        <v>0</v>
      </c>
      <c r="FG26" s="2">
        <f t="shared" si="61"/>
        <v>6864000</v>
      </c>
      <c r="FH26" s="2">
        <f t="shared" si="62"/>
        <v>0</v>
      </c>
      <c r="FI26" s="2">
        <f t="shared" si="63"/>
        <v>0</v>
      </c>
      <c r="FJ26" s="2">
        <f t="shared" si="64"/>
        <v>0</v>
      </c>
      <c r="FK26" s="2">
        <f t="shared" si="65"/>
        <v>0</v>
      </c>
    </row>
    <row r="27" spans="1:167" x14ac:dyDescent="0.3">
      <c r="A27" s="9">
        <v>19</v>
      </c>
      <c r="B27" s="11">
        <v>8318</v>
      </c>
      <c r="D27" s="29">
        <v>7.4323599842739202E-2</v>
      </c>
      <c r="G27" s="18">
        <v>19</v>
      </c>
      <c r="H27" s="15"/>
      <c r="I27" s="2"/>
      <c r="J27" s="2">
        <v>4.2065918445587158</v>
      </c>
      <c r="K27" s="2">
        <v>32.424873113632202</v>
      </c>
      <c r="L27" s="2">
        <v>94.909912347793579</v>
      </c>
      <c r="M27" s="2">
        <v>83.959835767745972</v>
      </c>
      <c r="N27" s="2"/>
      <c r="O27" s="2"/>
      <c r="P27" s="2">
        <v>38.063913583755493</v>
      </c>
      <c r="Q27" s="2"/>
      <c r="R27" s="2"/>
      <c r="S27" s="2"/>
      <c r="T27" s="2"/>
      <c r="U27" s="2"/>
      <c r="V27" s="2">
        <v>33.646470308303833</v>
      </c>
      <c r="W27" s="2"/>
      <c r="X27" s="2"/>
      <c r="Y27" s="2"/>
      <c r="Z27" s="2">
        <v>0</v>
      </c>
      <c r="AA27" s="2"/>
      <c r="AC27" s="39">
        <f t="shared" si="1"/>
        <v>287.21159696578979</v>
      </c>
      <c r="AD27" s="2">
        <f t="shared" si="2"/>
        <v>6</v>
      </c>
      <c r="AJ27" s="49">
        <v>18</v>
      </c>
      <c r="AK27" s="2">
        <f t="shared" si="6"/>
        <v>17.039291075449444</v>
      </c>
      <c r="AL27" s="2">
        <f t="shared" si="7"/>
        <v>19.652387504914401</v>
      </c>
      <c r="AM27" s="2">
        <f t="shared" si="8"/>
        <v>8.9120063261732003</v>
      </c>
      <c r="AN27" s="2">
        <f t="shared" si="9"/>
        <v>24.582658422388221</v>
      </c>
      <c r="AO27" s="2">
        <f t="shared" si="10"/>
        <v>7.9079854533757459</v>
      </c>
      <c r="AP27" s="2">
        <f t="shared" si="11"/>
        <v>24.875938203652737</v>
      </c>
      <c r="AQ27" s="2">
        <f t="shared" si="12"/>
        <v>18.143714035526646</v>
      </c>
      <c r="AR27" s="2">
        <f t="shared" si="13"/>
        <v>23.248367525644234</v>
      </c>
      <c r="AS27" s="2">
        <f t="shared" si="14"/>
        <v>10.100978412380714</v>
      </c>
      <c r="AT27" s="2">
        <f t="shared" si="15"/>
        <v>5.8814485864398298</v>
      </c>
      <c r="AU27" s="2">
        <f t="shared" si="16"/>
        <v>23.203450802387504</v>
      </c>
      <c r="AV27" s="2">
        <f t="shared" si="17"/>
        <v>3.3132688802316022</v>
      </c>
      <c r="AW27" s="2">
        <f t="shared" si="18"/>
        <v>18.780474641695559</v>
      </c>
      <c r="AX27" s="2">
        <f t="shared" si="19"/>
        <v>20.275937310125453</v>
      </c>
      <c r="AY27" s="2">
        <f t="shared" si="20"/>
        <v>7.334636691804568</v>
      </c>
      <c r="AZ27" s="2">
        <f t="shared" si="21"/>
        <v>22.479498909896705</v>
      </c>
      <c r="BA27" s="2">
        <f t="shared" si="22"/>
        <v>4.9883984416884095</v>
      </c>
      <c r="BB27" s="2">
        <f t="shared" si="23"/>
        <v>7.8128676864791444</v>
      </c>
      <c r="BC27" s="2">
        <f t="shared" si="24"/>
        <v>21.977488473497981</v>
      </c>
      <c r="BD27" s="2">
        <f t="shared" si="25"/>
        <v>5.1892026162479006</v>
      </c>
      <c r="BG27" s="49">
        <v>18</v>
      </c>
      <c r="BH27">
        <v>3</v>
      </c>
      <c r="BI27">
        <v>2</v>
      </c>
      <c r="BJ27">
        <v>3</v>
      </c>
      <c r="BK27">
        <v>3</v>
      </c>
      <c r="BL27">
        <v>3</v>
      </c>
      <c r="BM27">
        <v>13</v>
      </c>
      <c r="BN27">
        <v>13</v>
      </c>
      <c r="BO27">
        <v>3</v>
      </c>
      <c r="BP27">
        <v>3</v>
      </c>
      <c r="BQ27">
        <v>3</v>
      </c>
      <c r="BR27">
        <v>3</v>
      </c>
      <c r="BS27">
        <v>3</v>
      </c>
      <c r="BT27">
        <v>13</v>
      </c>
      <c r="BU27">
        <v>3</v>
      </c>
      <c r="BV27">
        <v>13</v>
      </c>
      <c r="BW27">
        <v>3</v>
      </c>
      <c r="BX27">
        <v>13</v>
      </c>
      <c r="BY27">
        <v>18</v>
      </c>
      <c r="BZ27">
        <v>3</v>
      </c>
      <c r="CA27">
        <v>13</v>
      </c>
      <c r="CC27" s="49">
        <v>18</v>
      </c>
      <c r="CD27">
        <v>0</v>
      </c>
      <c r="CE27">
        <v>66.892553343579124</v>
      </c>
      <c r="CF27">
        <v>589.01571803852892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526.64586832981877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Y27" s="49">
        <v>18</v>
      </c>
      <c r="CZ27">
        <v>0</v>
      </c>
      <c r="DA27">
        <v>79</v>
      </c>
      <c r="DB27">
        <v>602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540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U27" s="49">
        <v>18</v>
      </c>
      <c r="DV27" s="2">
        <f t="shared" si="26"/>
        <v>0</v>
      </c>
      <c r="DW27" s="2">
        <f t="shared" si="27"/>
        <v>6762400</v>
      </c>
      <c r="DX27" s="2">
        <f t="shared" si="28"/>
        <v>51531200</v>
      </c>
      <c r="DY27" s="2">
        <f t="shared" si="29"/>
        <v>0</v>
      </c>
      <c r="DZ27" s="2">
        <f t="shared" si="30"/>
        <v>0</v>
      </c>
      <c r="EA27" s="2">
        <f t="shared" si="31"/>
        <v>0</v>
      </c>
      <c r="EB27" s="2">
        <f t="shared" si="32"/>
        <v>0</v>
      </c>
      <c r="EC27" s="2">
        <f t="shared" si="33"/>
        <v>0</v>
      </c>
      <c r="ED27" s="2">
        <f t="shared" si="34"/>
        <v>0</v>
      </c>
      <c r="EE27" s="2">
        <f t="shared" si="35"/>
        <v>0</v>
      </c>
      <c r="EF27" s="2">
        <f t="shared" si="36"/>
        <v>0</v>
      </c>
      <c r="EG27" s="2">
        <f t="shared" si="37"/>
        <v>0</v>
      </c>
      <c r="EH27" s="2">
        <f t="shared" si="38"/>
        <v>46224000</v>
      </c>
      <c r="EI27" s="2">
        <f t="shared" si="39"/>
        <v>0</v>
      </c>
      <c r="EJ27" s="2">
        <f t="shared" si="40"/>
        <v>0</v>
      </c>
      <c r="EK27" s="2">
        <f t="shared" si="41"/>
        <v>0</v>
      </c>
      <c r="EL27" s="2">
        <f t="shared" si="42"/>
        <v>0</v>
      </c>
      <c r="EM27" s="2">
        <f t="shared" si="43"/>
        <v>0</v>
      </c>
      <c r="EN27" s="2">
        <f t="shared" si="44"/>
        <v>0</v>
      </c>
      <c r="EO27" s="2">
        <f t="shared" si="45"/>
        <v>0</v>
      </c>
      <c r="EQ27" s="49">
        <v>18</v>
      </c>
      <c r="ER27" s="2">
        <f t="shared" si="46"/>
        <v>0</v>
      </c>
      <c r="ES27" s="2">
        <f t="shared" si="47"/>
        <v>6778400</v>
      </c>
      <c r="ET27" s="2">
        <f t="shared" si="48"/>
        <v>51547200</v>
      </c>
      <c r="EU27" s="2">
        <f t="shared" si="49"/>
        <v>0</v>
      </c>
      <c r="EV27" s="2">
        <f t="shared" si="50"/>
        <v>0</v>
      </c>
      <c r="EW27" s="2">
        <f t="shared" si="51"/>
        <v>0</v>
      </c>
      <c r="EX27" s="2">
        <f t="shared" si="52"/>
        <v>0</v>
      </c>
      <c r="EY27" s="2">
        <f t="shared" si="53"/>
        <v>0</v>
      </c>
      <c r="EZ27" s="2">
        <f t="shared" si="54"/>
        <v>0</v>
      </c>
      <c r="FA27" s="2">
        <f t="shared" si="55"/>
        <v>0</v>
      </c>
      <c r="FB27" s="2">
        <f t="shared" si="56"/>
        <v>0</v>
      </c>
      <c r="FC27" s="2">
        <f t="shared" si="57"/>
        <v>0</v>
      </c>
      <c r="FD27" s="2">
        <f t="shared" si="58"/>
        <v>46240000</v>
      </c>
      <c r="FE27" s="2">
        <f t="shared" si="59"/>
        <v>0</v>
      </c>
      <c r="FF27" s="2">
        <f t="shared" si="60"/>
        <v>0</v>
      </c>
      <c r="FG27" s="2">
        <f t="shared" si="61"/>
        <v>0</v>
      </c>
      <c r="FH27" s="2">
        <f t="shared" si="62"/>
        <v>0</v>
      </c>
      <c r="FI27" s="2">
        <f t="shared" si="63"/>
        <v>0</v>
      </c>
      <c r="FJ27" s="2">
        <f t="shared" si="64"/>
        <v>0</v>
      </c>
      <c r="FK27" s="2">
        <f t="shared" si="65"/>
        <v>0</v>
      </c>
    </row>
    <row r="28" spans="1:167" ht="15" thickBot="1" x14ac:dyDescent="0.35">
      <c r="A28" s="9">
        <v>20</v>
      </c>
      <c r="B28" s="11">
        <v>1964</v>
      </c>
      <c r="D28" s="30">
        <v>1.754887594267129E-2</v>
      </c>
      <c r="G28" s="19">
        <v>20</v>
      </c>
      <c r="H28" s="15"/>
      <c r="I28" s="2">
        <v>61.487644910812378</v>
      </c>
      <c r="J28" s="2">
        <v>73.711186647415161</v>
      </c>
      <c r="K28" s="2"/>
      <c r="L28" s="2"/>
      <c r="M28" s="2">
        <v>3.4930408000946045</v>
      </c>
      <c r="N28" s="2">
        <v>3.4199059009552002</v>
      </c>
      <c r="O28" s="2"/>
      <c r="P28" s="2">
        <v>26.110225915908813</v>
      </c>
      <c r="Q28" s="2"/>
      <c r="R28" s="2">
        <v>91.467553377151489</v>
      </c>
      <c r="S28" s="2"/>
      <c r="T28" s="2"/>
      <c r="U28" s="2"/>
      <c r="V28" s="2"/>
      <c r="W28" s="2"/>
      <c r="X28" s="2">
        <v>32.323318719863892</v>
      </c>
      <c r="Y28" s="2"/>
      <c r="Z28" s="2"/>
      <c r="AA28" s="2">
        <v>0</v>
      </c>
      <c r="AC28" s="39">
        <f t="shared" si="1"/>
        <v>292.01287627220154</v>
      </c>
      <c r="AD28" s="2">
        <f t="shared" si="2"/>
        <v>7</v>
      </c>
      <c r="AJ28" s="49">
        <v>19</v>
      </c>
      <c r="AK28" s="2">
        <f t="shared" si="6"/>
        <v>47.931289538582519</v>
      </c>
      <c r="AL28" s="2">
        <f t="shared" si="7"/>
        <v>55.281893563029428</v>
      </c>
      <c r="AM28" s="2">
        <f t="shared" si="8"/>
        <v>25.069350226955933</v>
      </c>
      <c r="AN28" s="2">
        <f t="shared" si="9"/>
        <v>69.150677293684566</v>
      </c>
      <c r="AO28" s="2">
        <f t="shared" si="10"/>
        <v>22.245053432931844</v>
      </c>
      <c r="AP28" s="2">
        <f t="shared" si="11"/>
        <v>69.975669251938953</v>
      </c>
      <c r="AQ28" s="2">
        <f t="shared" si="12"/>
        <v>51.038016012009017</v>
      </c>
      <c r="AR28" s="2">
        <f t="shared" si="13"/>
        <v>65.39733550162623</v>
      </c>
      <c r="AS28" s="2">
        <f t="shared" si="14"/>
        <v>28.413912219879197</v>
      </c>
      <c r="AT28" s="2">
        <f t="shared" si="15"/>
        <v>16.544433324993747</v>
      </c>
      <c r="AU28" s="2">
        <f t="shared" si="16"/>
        <v>65.270985381893567</v>
      </c>
      <c r="AV28" s="2">
        <f t="shared" si="17"/>
        <v>9.3201794202794961</v>
      </c>
      <c r="AW28" s="2">
        <f t="shared" si="18"/>
        <v>52.829214768219025</v>
      </c>
      <c r="AX28" s="2">
        <f t="shared" si="19"/>
        <v>57.035930519318072</v>
      </c>
      <c r="AY28" s="2">
        <f t="shared" si="20"/>
        <v>20.632231316344402</v>
      </c>
      <c r="AZ28" s="2">
        <f t="shared" si="21"/>
        <v>63.234518746202511</v>
      </c>
      <c r="BA28" s="2">
        <f t="shared" si="22"/>
        <v>14.032295650309162</v>
      </c>
      <c r="BB28" s="2">
        <f t="shared" si="23"/>
        <v>21.977488473497981</v>
      </c>
      <c r="BC28" s="2">
        <f t="shared" si="24"/>
        <v>61.822370349190471</v>
      </c>
      <c r="BD28" s="2">
        <f t="shared" si="25"/>
        <v>14.59715500911398</v>
      </c>
      <c r="BG28" s="49">
        <v>19</v>
      </c>
      <c r="BH28">
        <v>3</v>
      </c>
      <c r="BI28">
        <v>3</v>
      </c>
      <c r="BJ28">
        <v>3</v>
      </c>
      <c r="BK28">
        <v>3</v>
      </c>
      <c r="BL28">
        <v>3</v>
      </c>
      <c r="BM28">
        <v>3</v>
      </c>
      <c r="BN28">
        <v>3</v>
      </c>
      <c r="BO28">
        <v>3</v>
      </c>
      <c r="BP28">
        <v>3</v>
      </c>
      <c r="BQ28">
        <v>3</v>
      </c>
      <c r="BR28">
        <v>3</v>
      </c>
      <c r="BS28">
        <v>3</v>
      </c>
      <c r="BT28">
        <v>3</v>
      </c>
      <c r="BU28">
        <v>3</v>
      </c>
      <c r="BV28">
        <v>15</v>
      </c>
      <c r="BW28">
        <v>3</v>
      </c>
      <c r="BX28">
        <v>3</v>
      </c>
      <c r="BY28">
        <v>3</v>
      </c>
      <c r="BZ28">
        <v>19</v>
      </c>
      <c r="CA28">
        <v>3</v>
      </c>
      <c r="CC28" s="49">
        <v>19</v>
      </c>
      <c r="CD28">
        <v>0</v>
      </c>
      <c r="CE28">
        <v>0</v>
      </c>
      <c r="CF28">
        <v>749.34539833446513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20.632231316344399</v>
      </c>
      <c r="CS28">
        <v>0</v>
      </c>
      <c r="CT28">
        <v>0</v>
      </c>
      <c r="CU28">
        <v>0</v>
      </c>
      <c r="CV28">
        <v>0</v>
      </c>
      <c r="CW28">
        <v>0</v>
      </c>
      <c r="CY28" s="49">
        <v>19</v>
      </c>
      <c r="CZ28">
        <v>0</v>
      </c>
      <c r="DA28">
        <v>0</v>
      </c>
      <c r="DB28">
        <v>761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29</v>
      </c>
      <c r="DO28">
        <v>0</v>
      </c>
      <c r="DP28">
        <v>0</v>
      </c>
      <c r="DQ28">
        <v>0</v>
      </c>
      <c r="DR28">
        <v>0</v>
      </c>
      <c r="DS28">
        <v>0</v>
      </c>
      <c r="DU28" s="49">
        <v>19</v>
      </c>
      <c r="DV28" s="2">
        <f t="shared" si="26"/>
        <v>0</v>
      </c>
      <c r="DW28" s="2">
        <f t="shared" si="27"/>
        <v>0</v>
      </c>
      <c r="DX28" s="2">
        <f t="shared" si="28"/>
        <v>65141600</v>
      </c>
      <c r="DY28" s="2">
        <f t="shared" si="29"/>
        <v>0</v>
      </c>
      <c r="DZ28" s="2">
        <f t="shared" si="30"/>
        <v>0</v>
      </c>
      <c r="EA28" s="2">
        <f t="shared" si="31"/>
        <v>0</v>
      </c>
      <c r="EB28" s="2">
        <f t="shared" si="32"/>
        <v>0</v>
      </c>
      <c r="EC28" s="2">
        <f t="shared" si="33"/>
        <v>0</v>
      </c>
      <c r="ED28" s="2">
        <f t="shared" si="34"/>
        <v>0</v>
      </c>
      <c r="EE28" s="2">
        <f t="shared" si="35"/>
        <v>0</v>
      </c>
      <c r="EF28" s="2">
        <f t="shared" si="36"/>
        <v>0</v>
      </c>
      <c r="EG28" s="2">
        <f t="shared" si="37"/>
        <v>0</v>
      </c>
      <c r="EH28" s="2">
        <f t="shared" si="38"/>
        <v>0</v>
      </c>
      <c r="EI28" s="2">
        <f t="shared" si="39"/>
        <v>0</v>
      </c>
      <c r="EJ28" s="2">
        <f t="shared" si="40"/>
        <v>2482400</v>
      </c>
      <c r="EK28" s="2">
        <f t="shared" si="41"/>
        <v>0</v>
      </c>
      <c r="EL28" s="2">
        <f t="shared" si="42"/>
        <v>0</v>
      </c>
      <c r="EM28" s="2">
        <f t="shared" si="43"/>
        <v>0</v>
      </c>
      <c r="EN28" s="2">
        <f t="shared" si="44"/>
        <v>0</v>
      </c>
      <c r="EO28" s="2">
        <f t="shared" si="45"/>
        <v>0</v>
      </c>
      <c r="EQ28" s="49">
        <v>19</v>
      </c>
      <c r="ER28" s="2">
        <f t="shared" si="46"/>
        <v>0</v>
      </c>
      <c r="ES28" s="2">
        <f t="shared" si="47"/>
        <v>0</v>
      </c>
      <c r="ET28" s="2">
        <f t="shared" si="48"/>
        <v>65157600</v>
      </c>
      <c r="EU28" s="2">
        <f t="shared" si="49"/>
        <v>0</v>
      </c>
      <c r="EV28" s="2">
        <f t="shared" si="50"/>
        <v>0</v>
      </c>
      <c r="EW28" s="2">
        <f t="shared" si="51"/>
        <v>0</v>
      </c>
      <c r="EX28" s="2">
        <f t="shared" si="52"/>
        <v>0</v>
      </c>
      <c r="EY28" s="2">
        <f t="shared" si="53"/>
        <v>0</v>
      </c>
      <c r="EZ28" s="2">
        <f t="shared" si="54"/>
        <v>0</v>
      </c>
      <c r="FA28" s="2">
        <f t="shared" si="55"/>
        <v>0</v>
      </c>
      <c r="FB28" s="2">
        <f t="shared" si="56"/>
        <v>0</v>
      </c>
      <c r="FC28" s="2">
        <f t="shared" si="57"/>
        <v>0</v>
      </c>
      <c r="FD28" s="2">
        <f t="shared" si="58"/>
        <v>0</v>
      </c>
      <c r="FE28" s="2">
        <f t="shared" si="59"/>
        <v>0</v>
      </c>
      <c r="FF28" s="2">
        <f t="shared" si="60"/>
        <v>2498400</v>
      </c>
      <c r="FG28" s="2">
        <f t="shared" si="61"/>
        <v>0</v>
      </c>
      <c r="FH28" s="2">
        <f t="shared" si="62"/>
        <v>0</v>
      </c>
      <c r="FI28" s="2">
        <f t="shared" si="63"/>
        <v>0</v>
      </c>
      <c r="FJ28" s="2">
        <f t="shared" si="64"/>
        <v>0</v>
      </c>
      <c r="FK28" s="2">
        <f t="shared" si="65"/>
        <v>0</v>
      </c>
    </row>
    <row r="29" spans="1:167" x14ac:dyDescent="0.3">
      <c r="A29" s="1" t="s">
        <v>3</v>
      </c>
      <c r="B29" s="31">
        <f>SUM(B9:B28)</f>
        <v>111916</v>
      </c>
      <c r="D29" s="32">
        <f>SUM(D9:D28)</f>
        <v>1</v>
      </c>
      <c r="AB29" s="31">
        <f>SUM(H9:AA28)</f>
        <v>9103.3379077911377</v>
      </c>
      <c r="AJ29" s="49">
        <v>20</v>
      </c>
      <c r="AK29" s="2">
        <f t="shared" si="6"/>
        <v>11.317270095428716</v>
      </c>
      <c r="AL29" s="2">
        <f t="shared" si="7"/>
        <v>13.052853926158907</v>
      </c>
      <c r="AM29" s="2">
        <f t="shared" si="8"/>
        <v>5.9192358554630262</v>
      </c>
      <c r="AN29" s="2">
        <f t="shared" si="9"/>
        <v>16.327474177061369</v>
      </c>
      <c r="AO29" s="2">
        <f t="shared" si="10"/>
        <v>5.2523785696415173</v>
      </c>
      <c r="AP29" s="2">
        <f t="shared" si="11"/>
        <v>16.522266700025018</v>
      </c>
      <c r="AQ29" s="2">
        <f t="shared" si="12"/>
        <v>12.050813109832376</v>
      </c>
      <c r="AR29" s="2">
        <f t="shared" si="13"/>
        <v>15.441255941956468</v>
      </c>
      <c r="AS29" s="2">
        <f t="shared" si="14"/>
        <v>6.7089352728832345</v>
      </c>
      <c r="AT29" s="2">
        <f t="shared" si="15"/>
        <v>3.906379784838629</v>
      </c>
      <c r="AU29" s="2">
        <f t="shared" si="16"/>
        <v>15.411422852853926</v>
      </c>
      <c r="AV29" s="2">
        <f t="shared" si="17"/>
        <v>2.2006290432109799</v>
      </c>
      <c r="AW29" s="2">
        <f t="shared" si="18"/>
        <v>12.473741020050753</v>
      </c>
      <c r="AX29" s="2">
        <f t="shared" si="19"/>
        <v>13.467007398405949</v>
      </c>
      <c r="AY29" s="2">
        <f t="shared" si="20"/>
        <v>4.8715679616855505</v>
      </c>
      <c r="AZ29" s="2">
        <f t="shared" si="21"/>
        <v>14.930583652024733</v>
      </c>
      <c r="BA29" s="2">
        <f t="shared" si="22"/>
        <v>3.3132277779763397</v>
      </c>
      <c r="BB29" s="2">
        <f t="shared" si="23"/>
        <v>5.1892026162478997</v>
      </c>
      <c r="BC29" s="2">
        <f t="shared" si="24"/>
        <v>14.59715500911398</v>
      </c>
      <c r="BD29" s="2">
        <f t="shared" si="25"/>
        <v>3.4465992351406416</v>
      </c>
      <c r="BG29" s="49">
        <v>20</v>
      </c>
      <c r="BH29">
        <v>9</v>
      </c>
      <c r="BI29">
        <v>6</v>
      </c>
      <c r="BJ29">
        <v>6</v>
      </c>
      <c r="BK29">
        <v>6</v>
      </c>
      <c r="BL29">
        <v>7</v>
      </c>
      <c r="BM29">
        <v>6</v>
      </c>
      <c r="BN29">
        <v>7</v>
      </c>
      <c r="BO29">
        <v>9</v>
      </c>
      <c r="BP29">
        <v>9</v>
      </c>
      <c r="BQ29">
        <v>6</v>
      </c>
      <c r="BR29">
        <v>6</v>
      </c>
      <c r="BS29">
        <v>6</v>
      </c>
      <c r="BT29">
        <v>6</v>
      </c>
      <c r="BU29">
        <v>9</v>
      </c>
      <c r="BV29">
        <v>6</v>
      </c>
      <c r="BW29">
        <v>9</v>
      </c>
      <c r="BX29">
        <v>7</v>
      </c>
      <c r="BY29">
        <v>6</v>
      </c>
      <c r="BZ29">
        <v>6</v>
      </c>
      <c r="CA29">
        <v>20</v>
      </c>
      <c r="CC29" s="49">
        <v>20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267.59741591908221</v>
      </c>
      <c r="CJ29">
        <v>439.16736034168503</v>
      </c>
      <c r="CK29">
        <v>0</v>
      </c>
      <c r="CL29">
        <v>323.29050627256157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Y29" s="49">
        <v>20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282</v>
      </c>
      <c r="DF29">
        <v>454</v>
      </c>
      <c r="DG29">
        <v>0</v>
      </c>
      <c r="DH29">
        <v>338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U29" s="49">
        <v>20</v>
      </c>
      <c r="DV29" s="2">
        <f t="shared" si="26"/>
        <v>0</v>
      </c>
      <c r="DW29" s="2">
        <f t="shared" si="27"/>
        <v>0</v>
      </c>
      <c r="DX29" s="2">
        <f t="shared" si="28"/>
        <v>0</v>
      </c>
      <c r="DY29" s="2">
        <f t="shared" si="29"/>
        <v>0</v>
      </c>
      <c r="DZ29" s="2">
        <f t="shared" si="30"/>
        <v>0</v>
      </c>
      <c r="EA29" s="2">
        <f t="shared" si="31"/>
        <v>24139200</v>
      </c>
      <c r="EB29" s="2">
        <f t="shared" si="32"/>
        <v>38862400</v>
      </c>
      <c r="EC29" s="2">
        <f t="shared" si="33"/>
        <v>0</v>
      </c>
      <c r="ED29" s="2">
        <f t="shared" si="34"/>
        <v>28932800</v>
      </c>
      <c r="EE29" s="2">
        <f t="shared" si="35"/>
        <v>0</v>
      </c>
      <c r="EF29" s="2">
        <f t="shared" si="36"/>
        <v>0</v>
      </c>
      <c r="EG29" s="2">
        <f t="shared" si="37"/>
        <v>0</v>
      </c>
      <c r="EH29" s="2">
        <f t="shared" si="38"/>
        <v>0</v>
      </c>
      <c r="EI29" s="2">
        <f t="shared" si="39"/>
        <v>0</v>
      </c>
      <c r="EJ29" s="2">
        <f t="shared" si="40"/>
        <v>0</v>
      </c>
      <c r="EK29" s="2">
        <f t="shared" si="41"/>
        <v>0</v>
      </c>
      <c r="EL29" s="2">
        <f t="shared" si="42"/>
        <v>0</v>
      </c>
      <c r="EM29" s="2">
        <f t="shared" si="43"/>
        <v>0</v>
      </c>
      <c r="EN29" s="2">
        <f t="shared" si="44"/>
        <v>0</v>
      </c>
      <c r="EO29" s="2">
        <f t="shared" si="45"/>
        <v>0</v>
      </c>
      <c r="EQ29" s="49">
        <v>20</v>
      </c>
      <c r="ER29" s="2">
        <f t="shared" si="46"/>
        <v>0</v>
      </c>
      <c r="ES29" s="2">
        <f t="shared" si="47"/>
        <v>0</v>
      </c>
      <c r="ET29" s="2">
        <f t="shared" si="48"/>
        <v>0</v>
      </c>
      <c r="EU29" s="2">
        <f t="shared" si="49"/>
        <v>0</v>
      </c>
      <c r="EV29" s="2">
        <f t="shared" si="50"/>
        <v>0</v>
      </c>
      <c r="EW29" s="2">
        <f t="shared" si="51"/>
        <v>24155200</v>
      </c>
      <c r="EX29" s="2">
        <f t="shared" si="52"/>
        <v>38878400</v>
      </c>
      <c r="EY29" s="2">
        <f t="shared" si="53"/>
        <v>0</v>
      </c>
      <c r="EZ29" s="2">
        <f t="shared" si="54"/>
        <v>28948800</v>
      </c>
      <c r="FA29" s="2">
        <f t="shared" si="55"/>
        <v>0</v>
      </c>
      <c r="FB29" s="2">
        <f t="shared" si="56"/>
        <v>0</v>
      </c>
      <c r="FC29" s="2">
        <f t="shared" si="57"/>
        <v>0</v>
      </c>
      <c r="FD29" s="2">
        <f t="shared" si="58"/>
        <v>0</v>
      </c>
      <c r="FE29" s="2">
        <f t="shared" si="59"/>
        <v>0</v>
      </c>
      <c r="FF29" s="2">
        <f t="shared" si="60"/>
        <v>0</v>
      </c>
      <c r="FG29" s="2">
        <f t="shared" si="61"/>
        <v>0</v>
      </c>
      <c r="FH29" s="2">
        <f t="shared" si="62"/>
        <v>0</v>
      </c>
      <c r="FI29" s="2">
        <f t="shared" si="63"/>
        <v>0</v>
      </c>
      <c r="FJ29" s="2">
        <f t="shared" si="64"/>
        <v>0</v>
      </c>
      <c r="FK29" s="2">
        <f t="shared" si="65"/>
        <v>0</v>
      </c>
    </row>
    <row r="30" spans="1:167" ht="14.4" hidden="1" customHeight="1" x14ac:dyDescent="0.3">
      <c r="H30" s="2">
        <f>SUM(H9:H28)</f>
        <v>197.678542137146</v>
      </c>
      <c r="I30" s="2">
        <f t="shared" ref="I30:AA30" si="66">SUM(I9:I28)</f>
        <v>612.12146282196045</v>
      </c>
      <c r="J30" s="2">
        <f t="shared" si="66"/>
        <v>370.5522894859314</v>
      </c>
      <c r="K30" s="2">
        <f t="shared" si="66"/>
        <v>508.19225311279297</v>
      </c>
      <c r="L30" s="2">
        <f t="shared" si="66"/>
        <v>576.92741751670837</v>
      </c>
      <c r="M30" s="2">
        <f t="shared" si="66"/>
        <v>325.45236349105835</v>
      </c>
      <c r="N30" s="2">
        <f t="shared" si="66"/>
        <v>738.08004856109619</v>
      </c>
      <c r="O30" s="2">
        <f t="shared" si="66"/>
        <v>320.03430128097534</v>
      </c>
      <c r="P30" s="2">
        <f t="shared" si="66"/>
        <v>543.87158155441284</v>
      </c>
      <c r="Q30" s="2">
        <f t="shared" si="66"/>
        <v>434.44076180458069</v>
      </c>
      <c r="R30" s="2">
        <f t="shared" si="66"/>
        <v>624.60610270500183</v>
      </c>
      <c r="S30" s="2">
        <f t="shared" si="66"/>
        <v>408.64360928535461</v>
      </c>
      <c r="T30" s="2">
        <f t="shared" si="66"/>
        <v>489.48928713798523</v>
      </c>
      <c r="U30" s="2">
        <f t="shared" si="66"/>
        <v>599.53214526176453</v>
      </c>
      <c r="V30" s="2">
        <f t="shared" si="66"/>
        <v>385.06221771240234</v>
      </c>
      <c r="W30" s="2">
        <f t="shared" si="66"/>
        <v>439.77272510528564</v>
      </c>
      <c r="X30" s="2">
        <f t="shared" si="66"/>
        <v>498.60378503799438</v>
      </c>
      <c r="Y30" s="2">
        <f t="shared" si="66"/>
        <v>451.05254054069519</v>
      </c>
      <c r="Z30" s="2">
        <f t="shared" si="66"/>
        <v>287.21159696578979</v>
      </c>
      <c r="AA30" s="2">
        <f t="shared" si="66"/>
        <v>292.01287627220154</v>
      </c>
      <c r="AC30" s="40">
        <f>COUNTIF(AC9:AC28,0)</f>
        <v>0</v>
      </c>
      <c r="AD30" s="2">
        <f>SUM(AD9:AD28)</f>
        <v>188</v>
      </c>
      <c r="AE30">
        <f>(B35*B35-3*B35+4)/2</f>
        <v>172</v>
      </c>
    </row>
    <row r="31" spans="1:167" x14ac:dyDescent="0.3">
      <c r="BZ31" t="s">
        <v>25</v>
      </c>
      <c r="CA31">
        <f>SUM(BH10:CA29)</f>
        <v>3662</v>
      </c>
    </row>
    <row r="32" spans="1:167" ht="15" hidden="1" thickBot="1" x14ac:dyDescent="0.35">
      <c r="A32" s="33" t="s">
        <v>13</v>
      </c>
      <c r="B32" s="34">
        <v>0</v>
      </c>
    </row>
    <row r="33" spans="1:167" ht="15" hidden="1" thickBot="1" x14ac:dyDescent="0.35">
      <c r="A33" s="33" t="s">
        <v>14</v>
      </c>
      <c r="B33" s="33">
        <v>100</v>
      </c>
    </row>
    <row r="34" spans="1:167" ht="15" hidden="1" thickBot="1" x14ac:dyDescent="0.35">
      <c r="A34" s="33" t="s">
        <v>15</v>
      </c>
      <c r="B34" s="33">
        <v>0.5</v>
      </c>
    </row>
    <row r="35" spans="1:167" ht="15" hidden="1" thickBot="1" x14ac:dyDescent="0.35">
      <c r="A35" s="35" t="s">
        <v>16</v>
      </c>
      <c r="B35" s="35">
        <v>20</v>
      </c>
    </row>
    <row r="36" spans="1:167" x14ac:dyDescent="0.3">
      <c r="BC36" t="s">
        <v>25</v>
      </c>
      <c r="BD36">
        <f>SUM(AK10:BD29)</f>
        <v>11191.600000000004</v>
      </c>
      <c r="CV36" t="s">
        <v>25</v>
      </c>
      <c r="CW36">
        <f>SUM(CD10:CW29)</f>
        <v>31960.293906143899</v>
      </c>
      <c r="DR36" t="s">
        <v>25</v>
      </c>
      <c r="DS36">
        <f>SUM(CZ10:DS29)</f>
        <v>32778</v>
      </c>
      <c r="EN36" t="s">
        <v>25</v>
      </c>
      <c r="EO36">
        <f>SUM(DV10:EO29)</f>
        <v>2805796800</v>
      </c>
      <c r="FJ36" t="s">
        <v>25</v>
      </c>
      <c r="FK36">
        <f>SUM(ER10:FK29)</f>
        <v>2807044800</v>
      </c>
    </row>
    <row r="38" spans="1:167" ht="15" thickBot="1" x14ac:dyDescent="0.35"/>
    <row r="39" spans="1:167" ht="15" thickBot="1" x14ac:dyDescent="0.35">
      <c r="A39" s="36" t="s">
        <v>18</v>
      </c>
      <c r="B39" s="37"/>
      <c r="C39" s="38">
        <v>3217</v>
      </c>
    </row>
    <row r="41" spans="1:167" ht="15" thickBot="1" x14ac:dyDescent="0.35"/>
    <row r="42" spans="1:167" ht="15" thickBot="1" x14ac:dyDescent="0.35">
      <c r="H42" s="16">
        <v>1</v>
      </c>
      <c r="I42" s="20">
        <v>2</v>
      </c>
      <c r="J42" s="21">
        <v>3</v>
      </c>
      <c r="K42" s="21">
        <v>4</v>
      </c>
      <c r="L42" s="21">
        <v>5</v>
      </c>
      <c r="M42" s="21">
        <v>6</v>
      </c>
      <c r="N42" s="21">
        <v>7</v>
      </c>
      <c r="O42" s="21">
        <v>8</v>
      </c>
      <c r="P42" s="21">
        <v>9</v>
      </c>
      <c r="Q42" s="21">
        <v>10</v>
      </c>
      <c r="R42" s="21">
        <v>11</v>
      </c>
      <c r="S42" s="21">
        <v>12</v>
      </c>
      <c r="T42" s="21">
        <v>13</v>
      </c>
      <c r="U42" s="21">
        <v>14</v>
      </c>
      <c r="V42" s="21">
        <v>15</v>
      </c>
      <c r="W42" s="21">
        <v>16</v>
      </c>
      <c r="X42" s="21">
        <v>17</v>
      </c>
      <c r="Y42" s="21">
        <v>18</v>
      </c>
      <c r="Z42" s="21">
        <v>19</v>
      </c>
      <c r="AA42" s="22">
        <v>20</v>
      </c>
    </row>
    <row r="43" spans="1:167" x14ac:dyDescent="0.3">
      <c r="G43" s="23">
        <v>1</v>
      </c>
      <c r="H43" t="e" cm="1">
        <f t="array" aca="1" ref="H43" ca="1">_xludf.min(H9,H9:H28)</f>
        <v>#NAME?</v>
      </c>
    </row>
    <row r="44" spans="1:167" x14ac:dyDescent="0.3">
      <c r="G44" s="17">
        <v>2</v>
      </c>
    </row>
    <row r="45" spans="1:167" x14ac:dyDescent="0.3">
      <c r="G45" s="18">
        <v>3</v>
      </c>
    </row>
    <row r="46" spans="1:167" x14ac:dyDescent="0.3">
      <c r="G46" s="18">
        <v>4</v>
      </c>
    </row>
    <row r="47" spans="1:167" x14ac:dyDescent="0.3">
      <c r="G47" s="18">
        <v>5</v>
      </c>
    </row>
    <row r="48" spans="1:167" x14ac:dyDescent="0.3">
      <c r="G48" s="18">
        <v>6</v>
      </c>
    </row>
    <row r="49" spans="7:7" x14ac:dyDescent="0.3">
      <c r="G49" s="18">
        <v>7</v>
      </c>
    </row>
    <row r="50" spans="7:7" x14ac:dyDescent="0.3">
      <c r="G50" s="18">
        <v>8</v>
      </c>
    </row>
    <row r="51" spans="7:7" x14ac:dyDescent="0.3">
      <c r="G51" s="18">
        <v>9</v>
      </c>
    </row>
    <row r="52" spans="7:7" x14ac:dyDescent="0.3">
      <c r="G52" s="18">
        <v>10</v>
      </c>
    </row>
    <row r="53" spans="7:7" x14ac:dyDescent="0.3">
      <c r="G53" s="18">
        <v>11</v>
      </c>
    </row>
    <row r="54" spans="7:7" x14ac:dyDescent="0.3">
      <c r="G54" s="18">
        <v>12</v>
      </c>
    </row>
    <row r="55" spans="7:7" x14ac:dyDescent="0.3">
      <c r="G55" s="18">
        <v>13</v>
      </c>
    </row>
    <row r="56" spans="7:7" x14ac:dyDescent="0.3">
      <c r="G56" s="18">
        <v>14</v>
      </c>
    </row>
    <row r="57" spans="7:7" x14ac:dyDescent="0.3">
      <c r="G57" s="18">
        <v>15</v>
      </c>
    </row>
    <row r="58" spans="7:7" x14ac:dyDescent="0.3">
      <c r="G58" s="18">
        <v>16</v>
      </c>
    </row>
    <row r="59" spans="7:7" x14ac:dyDescent="0.3">
      <c r="G59" s="18">
        <v>17</v>
      </c>
    </row>
    <row r="60" spans="7:7" x14ac:dyDescent="0.3">
      <c r="G60" s="18">
        <v>18</v>
      </c>
    </row>
    <row r="61" spans="7:7" x14ac:dyDescent="0.3">
      <c r="G61" s="18">
        <v>19</v>
      </c>
    </row>
    <row r="62" spans="7:7" ht="15" thickBot="1" x14ac:dyDescent="0.35">
      <c r="G62" s="19">
        <v>20</v>
      </c>
    </row>
  </sheetData>
  <mergeCells count="8">
    <mergeCell ref="DZ8:EJ8"/>
    <mergeCell ref="EV8:FF8"/>
    <mergeCell ref="DD8:DN8"/>
    <mergeCell ref="AN4:AW4"/>
    <mergeCell ref="AF3:AG5"/>
    <mergeCell ref="AP8:AY8"/>
    <mergeCell ref="BL8:BV8"/>
    <mergeCell ref="CI8:CR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or">
                <anchor moveWithCells="1" sizeWithCells="1">
                  <from>
                    <xdr:col>4</xdr:col>
                    <xdr:colOff>7620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Dmitry</cp:lastModifiedBy>
  <dcterms:created xsi:type="dcterms:W3CDTF">2017-09-26T07:27:19Z</dcterms:created>
  <dcterms:modified xsi:type="dcterms:W3CDTF">2025-10-31T11:28:04Z</dcterms:modified>
</cp:coreProperties>
</file>