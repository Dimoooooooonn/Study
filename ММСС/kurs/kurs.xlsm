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grams\Programs\Study\ММСС\kurs\"/>
    </mc:Choice>
  </mc:AlternateContent>
  <xr:revisionPtr revIDLastSave="0" documentId="13_ncr:1_{54B456B7-6901-4E6B-9AAD-FCDB1CCF0CD5}" xr6:coauthVersionLast="47" xr6:coauthVersionMax="47" xr10:uidLastSave="{00000000-0000-0000-0000-000000000000}"/>
  <bookViews>
    <workbookView xWindow="-108" yWindow="-108" windowWidth="23256" windowHeight="14160" xr2:uid="{00000000-000D-0000-FFFF-FFFF00000000}"/>
  </bookViews>
  <sheets>
    <sheet name="лист1" sheetId="1" r:id="rId1"/>
    <sheet name="Лист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6" i="1" l="1"/>
  <c r="T85" i="2"/>
  <c r="FC13" i="1"/>
  <c r="FG13" i="1"/>
  <c r="FH13" i="1"/>
  <c r="FI13" i="1"/>
  <c r="FK13" i="1"/>
  <c r="ES15" i="1"/>
  <c r="FH16" i="1"/>
  <c r="FI16" i="1"/>
  <c r="FK16" i="1"/>
  <c r="EU17" i="1"/>
  <c r="EY17" i="1"/>
  <c r="EY18" i="1"/>
  <c r="EZ18" i="1"/>
  <c r="EV20" i="1"/>
  <c r="EW20" i="1"/>
  <c r="EY20" i="1"/>
  <c r="EZ20" i="1"/>
  <c r="FA21" i="1"/>
  <c r="EU23" i="1"/>
  <c r="EY23" i="1"/>
  <c r="FG23" i="1"/>
  <c r="EY26" i="1"/>
  <c r="EZ26" i="1"/>
  <c r="FK26" i="1"/>
  <c r="FI27" i="1"/>
  <c r="ES28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FI11" i="1" s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FA13" i="1" s="1"/>
  <c r="EF13" i="1"/>
  <c r="FB13" i="1" s="1"/>
  <c r="EG13" i="1"/>
  <c r="EH13" i="1"/>
  <c r="FD13" i="1" s="1"/>
  <c r="EI13" i="1"/>
  <c r="FE13" i="1" s="1"/>
  <c r="EJ13" i="1"/>
  <c r="FF13" i="1" s="1"/>
  <c r="EK13" i="1"/>
  <c r="EL13" i="1"/>
  <c r="EM13" i="1"/>
  <c r="EN13" i="1"/>
  <c r="FJ13" i="1" s="1"/>
  <c r="EO13" i="1"/>
  <c r="DV14" i="1"/>
  <c r="ER14" i="1" s="1"/>
  <c r="DW14" i="1"/>
  <c r="ES14" i="1" s="1"/>
  <c r="DX14" i="1"/>
  <c r="ET14" i="1" s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ET15" i="1" s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FE16" i="1" s="1"/>
  <c r="EJ16" i="1"/>
  <c r="FF16" i="1" s="1"/>
  <c r="EK16" i="1"/>
  <c r="FG16" i="1" s="1"/>
  <c r="EL16" i="1"/>
  <c r="EM16" i="1"/>
  <c r="EN16" i="1"/>
  <c r="FJ16" i="1" s="1"/>
  <c r="EO16" i="1"/>
  <c r="DV17" i="1"/>
  <c r="ER17" i="1" s="1"/>
  <c r="DW17" i="1"/>
  <c r="ES17" i="1" s="1"/>
  <c r="DX17" i="1"/>
  <c r="ET17" i="1" s="1"/>
  <c r="DY17" i="1"/>
  <c r="DZ17" i="1"/>
  <c r="EV17" i="1" s="1"/>
  <c r="EA17" i="1"/>
  <c r="EW17" i="1" s="1"/>
  <c r="EB17" i="1"/>
  <c r="EX17" i="1" s="1"/>
  <c r="EC17" i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W18" i="1" s="1"/>
  <c r="EB18" i="1"/>
  <c r="EX18" i="1" s="1"/>
  <c r="EC18" i="1"/>
  <c r="ED18" i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FI19" i="1" s="1"/>
  <c r="EN19" i="1"/>
  <c r="FJ19" i="1" s="1"/>
  <c r="EO19" i="1"/>
  <c r="FK19" i="1" s="1"/>
  <c r="DV20" i="1"/>
  <c r="ER20" i="1" s="1"/>
  <c r="DW20" i="1"/>
  <c r="ES20" i="1" s="1"/>
  <c r="DX20" i="1"/>
  <c r="ET20" i="1" s="1"/>
  <c r="DY20" i="1"/>
  <c r="EU20" i="1" s="1"/>
  <c r="DZ20" i="1"/>
  <c r="EA20" i="1"/>
  <c r="EB20" i="1"/>
  <c r="EX20" i="1" s="1"/>
  <c r="EC20" i="1"/>
  <c r="ED20" i="1"/>
  <c r="EE20" i="1"/>
  <c r="FA20" i="1" s="1"/>
  <c r="EF20" i="1"/>
  <c r="FB20" i="1" s="1"/>
  <c r="EG20" i="1"/>
  <c r="FC20" i="1" s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EF21" i="1"/>
  <c r="FB21" i="1" s="1"/>
  <c r="EG21" i="1"/>
  <c r="FC21" i="1" s="1"/>
  <c r="EH21" i="1"/>
  <c r="FD21" i="1" s="1"/>
  <c r="EI21" i="1"/>
  <c r="FE21" i="1" s="1"/>
  <c r="EJ21" i="1"/>
  <c r="FF21" i="1" s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ES23" i="1" s="1"/>
  <c r="DX23" i="1"/>
  <c r="ET23" i="1" s="1"/>
  <c r="DY23" i="1"/>
  <c r="DZ23" i="1"/>
  <c r="EV23" i="1" s="1"/>
  <c r="EA23" i="1"/>
  <c r="EW23" i="1" s="1"/>
  <c r="EB23" i="1"/>
  <c r="EX23" i="1" s="1"/>
  <c r="EC23" i="1"/>
  <c r="ED23" i="1"/>
  <c r="EZ23" i="1" s="1"/>
  <c r="EE23" i="1"/>
  <c r="FA23" i="1" s="1"/>
  <c r="EF23" i="1"/>
  <c r="FB23" i="1" s="1"/>
  <c r="EG23" i="1"/>
  <c r="FC23" i="1" s="1"/>
  <c r="EH23" i="1"/>
  <c r="FD23" i="1" s="1"/>
  <c r="EI23" i="1"/>
  <c r="FE23" i="1" s="1"/>
  <c r="EJ23" i="1"/>
  <c r="FF23" i="1" s="1"/>
  <c r="EK23" i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FE24" i="1" s="1"/>
  <c r="EJ24" i="1"/>
  <c r="FF24" i="1" s="1"/>
  <c r="EK24" i="1"/>
  <c r="FG24" i="1" s="1"/>
  <c r="EL24" i="1"/>
  <c r="FH24" i="1" s="1"/>
  <c r="EM24" i="1"/>
  <c r="FI24" i="1" s="1"/>
  <c r="EN24" i="1"/>
  <c r="FJ24" i="1" s="1"/>
  <c r="EO24" i="1"/>
  <c r="FK24" i="1" s="1"/>
  <c r="DV25" i="1"/>
  <c r="ER25" i="1" s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W26" i="1" s="1"/>
  <c r="EB26" i="1"/>
  <c r="EX26" i="1" s="1"/>
  <c r="EC26" i="1"/>
  <c r="ED26" i="1"/>
  <c r="EE26" i="1"/>
  <c r="FA26" i="1" s="1"/>
  <c r="EF26" i="1"/>
  <c r="FB26" i="1" s="1"/>
  <c r="EG26" i="1"/>
  <c r="FC26" i="1" s="1"/>
  <c r="EH26" i="1"/>
  <c r="FD26" i="1" s="1"/>
  <c r="EI26" i="1"/>
  <c r="FE26" i="1" s="1"/>
  <c r="EJ26" i="1"/>
  <c r="FF26" i="1" s="1"/>
  <c r="EK26" i="1"/>
  <c r="FG26" i="1" s="1"/>
  <c r="EL26" i="1"/>
  <c r="FH26" i="1" s="1"/>
  <c r="EM26" i="1"/>
  <c r="FI26" i="1" s="1"/>
  <c r="EN26" i="1"/>
  <c r="FJ26" i="1" s="1"/>
  <c r="EO26" i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EN27" i="1"/>
  <c r="FJ27" i="1" s="1"/>
  <c r="EO27" i="1"/>
  <c r="FK27" i="1" s="1"/>
  <c r="DV28" i="1"/>
  <c r="ER28" i="1" s="1"/>
  <c r="DW28" i="1"/>
  <c r="DX28" i="1"/>
  <c r="ET28" i="1" s="1"/>
  <c r="DY28" i="1"/>
  <c r="EU28" i="1" s="1"/>
  <c r="DZ28" i="1"/>
  <c r="EV28" i="1" s="1"/>
  <c r="EA28" i="1"/>
  <c r="EW28" i="1" s="1"/>
  <c r="EB28" i="1"/>
  <c r="EX28" i="1" s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10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D36" i="1" l="1"/>
  <c r="B29" i="1"/>
  <c r="D29" i="1" l="1"/>
</calcChain>
</file>

<file path=xl/sharedStrings.xml><?xml version="1.0" encoding="utf-8"?>
<sst xmlns="http://schemas.openxmlformats.org/spreadsheetml/2006/main" count="147" uniqueCount="126">
  <si>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</si>
  <si>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</si>
  <si>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</si>
  <si>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</si>
  <si>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</si>
  <si>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</si>
  <si>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</si>
  <si>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</si>
  <si>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</si>
  <si>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</si>
  <si>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</si>
  <si>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</si>
  <si>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</si>
  <si>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</si>
  <si>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</si>
  <si>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</si>
  <si>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</si>
  <si>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</si>
  <si>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</si>
  <si>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</si>
  <si>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</si>
  <si>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</si>
  <si>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</si>
  <si>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</si>
  <si>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</si>
  <si>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</si>
  <si>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</si>
  <si>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</si>
  <si>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</si>
  <si>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</si>
  <si>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</si>
  <si>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</si>
  <si>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</si>
  <si>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</si>
  <si>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</si>
  <si>
    <t>37.161</t>
  </si>
  <si>
    <t>607.738</t>
  </si>
  <si>
    <t>49.433</t>
  </si>
  <si>
    <t>142.252</t>
  </si>
  <si>
    <t>403.222</t>
  </si>
  <si>
    <t>199.454</t>
  </si>
  <si>
    <t>18.449</t>
  </si>
  <si>
    <t>12.547</t>
  </si>
  <si>
    <t>66.892</t>
  </si>
  <si>
    <t>218.180</t>
  </si>
  <si>
    <t>10.165</t>
  </si>
  <si>
    <t>915.356</t>
  </si>
  <si>
    <t>186.750</t>
  </si>
  <si>
    <t>1045.514</t>
  </si>
  <si>
    <t>589.015</t>
  </si>
  <si>
    <t>749.345</t>
  </si>
  <si>
    <t>739.695</t>
  </si>
  <si>
    <t>77.347</t>
  </si>
  <si>
    <t>175.661</t>
  </si>
  <si>
    <t>232.011</t>
  </si>
  <si>
    <t>42.112</t>
  </si>
  <si>
    <t>152.995</t>
  </si>
  <si>
    <t>8.004</t>
  </si>
  <si>
    <t>23.616</t>
  </si>
  <si>
    <t>20.522</t>
  </si>
  <si>
    <t>66.358</t>
  </si>
  <si>
    <t>22.753</t>
  </si>
  <si>
    <t>5.049</t>
  </si>
  <si>
    <t>79.204</t>
  </si>
  <si>
    <t>495.320</t>
  </si>
  <si>
    <t>189.058</t>
  </si>
  <si>
    <t>117.083</t>
  </si>
  <si>
    <t>579.772</t>
  </si>
  <si>
    <t>42.134</t>
  </si>
  <si>
    <t>352.888</t>
  </si>
  <si>
    <t>136.685</t>
  </si>
  <si>
    <t>379.134</t>
  </si>
  <si>
    <t>348.599</t>
  </si>
  <si>
    <t>69.179</t>
  </si>
  <si>
    <t>1794.544</t>
  </si>
  <si>
    <t>90.190</t>
  </si>
  <si>
    <t>523.102</t>
  </si>
  <si>
    <t>1154.112</t>
  </si>
  <si>
    <t>13.059</t>
  </si>
  <si>
    <t>298.411</t>
  </si>
  <si>
    <t>1351.842</t>
  </si>
  <si>
    <t>262.791</t>
  </si>
  <si>
    <t>323.290</t>
  </si>
  <si>
    <t>1743.875</t>
  </si>
  <si>
    <t>727.330</t>
  </si>
  <si>
    <t>305.802</t>
  </si>
  <si>
    <t>4.427</t>
  </si>
  <si>
    <t>994.528</t>
  </si>
  <si>
    <t>171.876</t>
  </si>
  <si>
    <t>58.365</t>
  </si>
  <si>
    <t>459.587</t>
  </si>
  <si>
    <t>68.911</t>
  </si>
  <si>
    <t>452.510</t>
  </si>
  <si>
    <t>622.615</t>
  </si>
  <si>
    <t>2049.689</t>
  </si>
  <si>
    <t>529.799</t>
  </si>
  <si>
    <t>1.405</t>
  </si>
  <si>
    <t>40.958</t>
  </si>
  <si>
    <t>269.222</t>
  </si>
  <si>
    <t>45.144</t>
  </si>
  <si>
    <t>71.015</t>
  </si>
  <si>
    <t>405.522</t>
  </si>
  <si>
    <t>51.001</t>
  </si>
  <si>
    <t>411.244</t>
  </si>
  <si>
    <t>52.620</t>
  </si>
  <si>
    <t>32.602</t>
  </si>
  <si>
    <t>123.946</t>
  </si>
  <si>
    <t>6.885</t>
  </si>
  <si>
    <t>20.632</t>
  </si>
  <si>
    <t>694.979</t>
  </si>
  <si>
    <t>64.678</t>
  </si>
  <si>
    <t>68.388</t>
  </si>
  <si>
    <t>25.493</t>
  </si>
  <si>
    <t>123.739</t>
  </si>
  <si>
    <t>3.185</t>
  </si>
  <si>
    <t>412.063</t>
  </si>
  <si>
    <t>55.828</t>
  </si>
  <si>
    <t>526.645</t>
  </si>
  <si>
    <t>7.812</t>
  </si>
  <si>
    <t>655.534</t>
  </si>
  <si>
    <t>93.811</t>
  </si>
  <si>
    <t>61.822</t>
  </si>
  <si>
    <t>267.597</t>
  </si>
  <si>
    <t>439.167</t>
  </si>
  <si>
    <t>575.432</t>
  </si>
  <si>
    <t>3.446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</si>
</sst>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6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2" fontId="0" fillId="0" borderId="0" xfId="0" applyNumberFormat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38</xdr:row>
          <xdr:rowOff>0</xdr:rowOff>
        </xdr:from>
        <xdr:to>
          <xdr:col>6</xdr:col>
          <xdr:colOff>0</xdr:colOff>
          <xdr:row>39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ER4" zoomScale="95" zoomScaleNormal="100" workbookViewId="0">
      <selection activeCell="ER10" sqref="ER10"/>
    </sheetView>
  </sheetViews>
  <sheetFormatPr defaultRowHeight="14.4" x14ac:dyDescent="0.3"/>
  <cols>
    <col min="2" max="2" width="11.44140625" customWidth="1"/>
    <col min="3" max="3" width="6.6640625" customWidth="1"/>
    <col min="4" max="4" width="7.33203125" customWidth="1"/>
    <col min="5" max="5" width="10.109375" customWidth="1"/>
    <col min="6" max="6" width="9.6640625" customWidth="1"/>
    <col min="7" max="7" width="5.109375" customWidth="1"/>
    <col min="8" max="8" width="7.33203125" customWidth="1"/>
    <col min="9" max="10" width="5.109375" customWidth="1"/>
    <col min="11" max="11" width="5.6640625" customWidth="1"/>
    <col min="12" max="26" width="5.109375" customWidth="1"/>
    <col min="27" max="27" width="5.5546875" customWidth="1"/>
    <col min="29" max="29" width="7.33203125" hidden="1" customWidth="1"/>
    <col min="30" max="31" width="0" hidden="1" customWidth="1"/>
    <col min="35" max="35" width="7.88671875" customWidth="1"/>
    <col min="36" max="56" width="8.88671875" customWidth="1"/>
    <col min="58" max="58" width="13.44140625" customWidth="1"/>
    <col min="59" max="59" width="3.6640625" customWidth="1"/>
    <col min="60" max="60" width="4.88671875" customWidth="1"/>
    <col min="61" max="61" width="4.33203125" customWidth="1"/>
    <col min="62" max="62" width="3.88671875" customWidth="1"/>
    <col min="63" max="63" width="4.33203125" customWidth="1"/>
    <col min="64" max="64" width="4.44140625" customWidth="1"/>
    <col min="65" max="65" width="4.33203125" customWidth="1"/>
    <col min="66" max="66" width="5" customWidth="1"/>
    <col min="67" max="67" width="4.109375" customWidth="1"/>
    <col min="68" max="68" width="4.6640625" customWidth="1"/>
    <col min="69" max="69" width="4.5546875" customWidth="1"/>
    <col min="70" max="70" width="4.33203125" customWidth="1"/>
    <col min="71" max="71" width="4.6640625" customWidth="1"/>
    <col min="72" max="72" width="4.33203125" customWidth="1"/>
    <col min="73" max="73" width="4" customWidth="1"/>
    <col min="74" max="74" width="4.109375" customWidth="1"/>
    <col min="75" max="76" width="4.33203125" customWidth="1"/>
    <col min="77" max="77" width="4.6640625" customWidth="1"/>
    <col min="78" max="78" width="7.6640625" customWidth="1"/>
    <col min="79" max="79" width="7.88671875" customWidth="1"/>
    <col min="81" max="81" width="6" customWidth="1"/>
    <col min="82" max="82" width="7.6640625" customWidth="1"/>
    <col min="83" max="100" width="6" customWidth="1"/>
    <col min="101" max="101" width="7.33203125" customWidth="1"/>
    <col min="102" max="102" width="4.44140625" customWidth="1"/>
    <col min="103" max="122" width="6.33203125" customWidth="1"/>
    <col min="123" max="123" width="7" customWidth="1"/>
    <col min="126" max="126" width="10.5546875" customWidth="1"/>
    <col min="127" max="127" width="10.6640625" customWidth="1"/>
    <col min="128" max="128" width="10.44140625" customWidth="1"/>
    <col min="129" max="129" width="10.5546875" customWidth="1"/>
    <col min="130" max="130" width="10" customWidth="1"/>
    <col min="131" max="131" width="10.33203125" customWidth="1"/>
    <col min="132" max="132" width="10.109375" customWidth="1"/>
    <col min="133" max="133" width="10" customWidth="1"/>
    <col min="134" max="134" width="10.6640625" customWidth="1"/>
    <col min="135" max="135" width="10" customWidth="1"/>
    <col min="136" max="136" width="11" customWidth="1"/>
    <col min="137" max="137" width="10.44140625" customWidth="1"/>
    <col min="138" max="138" width="11.109375" customWidth="1"/>
    <col min="139" max="139" width="10.6640625" customWidth="1"/>
    <col min="140" max="141" width="10.33203125" customWidth="1"/>
    <col min="142" max="142" width="10.5546875" customWidth="1"/>
    <col min="143" max="143" width="10.6640625" customWidth="1"/>
    <col min="144" max="144" width="10.33203125" customWidth="1"/>
    <col min="145" max="145" width="10.5546875" customWidth="1"/>
    <col min="147" max="167" width="10.109375" customWidth="1"/>
  </cols>
  <sheetData>
    <row r="1" spans="1:167" x14ac:dyDescent="0.3">
      <c r="A1" s="1" t="s">
        <v>12</v>
      </c>
    </row>
    <row r="2" spans="1:167" ht="15" thickBot="1" x14ac:dyDescent="0.35"/>
    <row r="3" spans="1:167" ht="15" thickBot="1" x14ac:dyDescent="0.35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7" t="s">
        <v>27</v>
      </c>
      <c r="AG3" s="57"/>
    </row>
    <row r="4" spans="1:167" ht="21.6" thickBot="1" x14ac:dyDescent="0.4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7"/>
      <c r="AG4" s="57"/>
      <c r="AN4" s="55" t="s">
        <v>26</v>
      </c>
      <c r="AO4" s="56"/>
      <c r="AP4" s="56"/>
      <c r="AQ4" s="56"/>
      <c r="AR4" s="56"/>
      <c r="AS4" s="56"/>
      <c r="AT4" s="56"/>
      <c r="AU4" s="56"/>
      <c r="AV4" s="56"/>
      <c r="AW4" s="56"/>
    </row>
    <row r="5" spans="1:167" ht="15" thickBot="1" x14ac:dyDescent="0.35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7"/>
      <c r="AG5" s="57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" thickBot="1" x14ac:dyDescent="0.35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" thickBot="1" x14ac:dyDescent="0.35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5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8" t="s">
        <v>28</v>
      </c>
      <c r="AQ8" s="52"/>
      <c r="AR8" s="52"/>
      <c r="AS8" s="52"/>
      <c r="AT8" s="52"/>
      <c r="AU8" s="52"/>
      <c r="AV8" s="52"/>
      <c r="AW8" s="52"/>
      <c r="AX8" s="52"/>
      <c r="AY8" s="53"/>
      <c r="BL8" s="51" t="s">
        <v>29</v>
      </c>
      <c r="BM8" s="52"/>
      <c r="BN8" s="52"/>
      <c r="BO8" s="52"/>
      <c r="BP8" s="52"/>
      <c r="BQ8" s="52"/>
      <c r="BR8" s="52"/>
      <c r="BS8" s="52"/>
      <c r="BT8" s="52"/>
      <c r="BU8" s="52"/>
      <c r="BV8" s="53"/>
      <c r="CI8" s="59" t="s">
        <v>30</v>
      </c>
      <c r="CJ8" s="59"/>
      <c r="CK8" s="59"/>
      <c r="CL8" s="59"/>
      <c r="CM8" s="59"/>
      <c r="CN8" s="59"/>
      <c r="CO8" s="59"/>
      <c r="CP8" s="59"/>
      <c r="CQ8" s="59"/>
      <c r="CR8" s="59"/>
      <c r="DD8" s="54" t="s">
        <v>31</v>
      </c>
      <c r="DE8" s="52"/>
      <c r="DF8" s="52"/>
      <c r="DG8" s="52"/>
      <c r="DH8" s="52"/>
      <c r="DI8" s="52"/>
      <c r="DJ8" s="52"/>
      <c r="DK8" s="52"/>
      <c r="DL8" s="52"/>
      <c r="DM8" s="52"/>
      <c r="DN8" s="53"/>
      <c r="DZ8" s="51" t="s">
        <v>32</v>
      </c>
      <c r="EA8" s="52"/>
      <c r="EB8" s="52"/>
      <c r="EC8" s="52"/>
      <c r="ED8" s="52"/>
      <c r="EE8" s="52"/>
      <c r="EF8" s="52"/>
      <c r="EG8" s="52"/>
      <c r="EH8" s="52"/>
      <c r="EI8" s="52"/>
      <c r="EJ8" s="53"/>
      <c r="EV8" s="54" t="s">
        <v>33</v>
      </c>
      <c r="EW8" s="52"/>
      <c r="EX8" s="52"/>
      <c r="EY8" s="52"/>
      <c r="EZ8" s="52"/>
      <c r="FA8" s="52"/>
      <c r="FB8" s="52"/>
      <c r="FC8" s="52"/>
      <c r="FD8" s="52"/>
      <c r="FE8" s="52"/>
      <c r="FF8" s="53"/>
      <c r="FI8" t="s">
        <v>34</v>
      </c>
    </row>
    <row r="9" spans="1:167" x14ac:dyDescent="0.3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3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 s="50">
        <v>37.161000000000001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607.73800000000006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49">
        <v>1</v>
      </c>
      <c r="CZ10">
        <v>47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4023200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4039200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3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11</v>
      </c>
      <c r="BP11">
        <v>11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 s="50">
        <v>0</v>
      </c>
      <c r="CE11">
        <v>49.433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142.25200000000001</v>
      </c>
      <c r="CO11">
        <v>403.22199999999998</v>
      </c>
      <c r="CP11">
        <v>0</v>
      </c>
      <c r="CQ11">
        <v>199.45400000000001</v>
      </c>
      <c r="CR11">
        <v>18.449000000000002</v>
      </c>
      <c r="CS11">
        <v>0</v>
      </c>
      <c r="CT11">
        <v>12.547000000000001</v>
      </c>
      <c r="CU11">
        <v>66.891999999999996</v>
      </c>
      <c r="CV11">
        <v>0</v>
      </c>
      <c r="CW11">
        <v>0</v>
      </c>
      <c r="CY11" s="49">
        <v>2</v>
      </c>
      <c r="CZ11">
        <v>0</v>
      </c>
      <c r="DA11">
        <v>60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156</v>
      </c>
      <c r="DK11">
        <v>418</v>
      </c>
      <c r="DL11">
        <v>0</v>
      </c>
      <c r="DM11">
        <v>214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5136000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13353600</v>
      </c>
      <c r="EG11" s="2">
        <f t="shared" ref="EG11:EG29" si="37">DK11*$E$4</f>
        <v>35780800</v>
      </c>
      <c r="EH11" s="2">
        <f t="shared" ref="EH11:EH29" si="38">DL11*$E$4</f>
        <v>0</v>
      </c>
      <c r="EI11" s="2">
        <f t="shared" ref="EI11:EI29" si="39">DM11*$E$4</f>
        <v>18318400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5152000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13369600</v>
      </c>
      <c r="FC11" s="2">
        <f t="shared" ref="FC11:FC29" si="57">IF(EG11,(EG11+8*$E$3/$E$5),0)</f>
        <v>35796800</v>
      </c>
      <c r="FD11" s="2">
        <f t="shared" ref="FD11:FD29" si="58">IF(EH11,(EH11+8*$E$3/$E$5),0)</f>
        <v>0</v>
      </c>
      <c r="FE11" s="2">
        <f t="shared" ref="FE11:FE29" si="59">IF(EI11,(EI11+8*$E$3/$E$5),0)</f>
        <v>18334400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3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 s="50">
        <v>218.18</v>
      </c>
      <c r="CE12">
        <v>0</v>
      </c>
      <c r="CF12">
        <v>10.164999999999999</v>
      </c>
      <c r="CG12">
        <v>915.35599999999999</v>
      </c>
      <c r="CH12">
        <v>186.75</v>
      </c>
      <c r="CI12">
        <v>0</v>
      </c>
      <c r="CJ12">
        <v>0</v>
      </c>
      <c r="CK12">
        <v>0</v>
      </c>
      <c r="CL12">
        <v>0</v>
      </c>
      <c r="CM12">
        <v>1045.5139999999999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589.01499999999999</v>
      </c>
      <c r="CV12">
        <v>749.34500000000003</v>
      </c>
      <c r="CW12">
        <v>0</v>
      </c>
      <c r="CY12" s="49">
        <v>3</v>
      </c>
      <c r="CZ12">
        <v>233</v>
      </c>
      <c r="DA12">
        <v>0</v>
      </c>
      <c r="DB12">
        <v>17</v>
      </c>
      <c r="DC12">
        <v>379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333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528</v>
      </c>
      <c r="DS12">
        <v>0</v>
      </c>
      <c r="DU12" s="49">
        <v>3</v>
      </c>
      <c r="DV12" s="2">
        <f t="shared" si="26"/>
        <v>19944800</v>
      </c>
      <c r="DW12" s="2">
        <f t="shared" si="27"/>
        <v>0</v>
      </c>
      <c r="DX12" s="2">
        <f t="shared" si="28"/>
        <v>1455200</v>
      </c>
      <c r="DY12" s="2">
        <f t="shared" si="29"/>
        <v>32442400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28504800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45196800</v>
      </c>
      <c r="EO12" s="2">
        <f t="shared" si="45"/>
        <v>0</v>
      </c>
      <c r="EQ12" s="49">
        <v>3</v>
      </c>
      <c r="ER12" s="2">
        <f t="shared" si="46"/>
        <v>19960800</v>
      </c>
      <c r="ES12" s="2">
        <f t="shared" si="47"/>
        <v>0</v>
      </c>
      <c r="ET12" s="2">
        <f t="shared" si="48"/>
        <v>1471200</v>
      </c>
      <c r="EU12" s="2">
        <f t="shared" si="49"/>
        <v>32458400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28520800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45212800</v>
      </c>
      <c r="FK12" s="2">
        <f t="shared" si="65"/>
        <v>0</v>
      </c>
    </row>
    <row r="13" spans="1:167" x14ac:dyDescent="0.3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8</v>
      </c>
      <c r="BP13">
        <v>8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8</v>
      </c>
      <c r="BX13">
        <v>3</v>
      </c>
      <c r="BY13">
        <v>3</v>
      </c>
      <c r="BZ13">
        <v>3</v>
      </c>
      <c r="CA13">
        <v>3</v>
      </c>
      <c r="CC13" s="49">
        <v>4</v>
      </c>
      <c r="CD13" s="50">
        <v>0</v>
      </c>
      <c r="CE13">
        <v>0</v>
      </c>
      <c r="CF13">
        <v>739.69500000000005</v>
      </c>
      <c r="CG13">
        <v>77.346999999999994</v>
      </c>
      <c r="CH13">
        <v>0</v>
      </c>
      <c r="CI13">
        <v>0</v>
      </c>
      <c r="CJ13">
        <v>0</v>
      </c>
      <c r="CK13">
        <v>175.661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232.011</v>
      </c>
      <c r="CR13">
        <v>42.112000000000002</v>
      </c>
      <c r="CS13">
        <v>0</v>
      </c>
      <c r="CT13">
        <v>0</v>
      </c>
      <c r="CU13">
        <v>0</v>
      </c>
      <c r="CV13">
        <v>0</v>
      </c>
      <c r="CW13">
        <v>0</v>
      </c>
      <c r="CY13" s="49">
        <v>4</v>
      </c>
      <c r="CZ13">
        <v>0</v>
      </c>
      <c r="DA13">
        <v>0</v>
      </c>
      <c r="DB13">
        <v>549</v>
      </c>
      <c r="DC13">
        <v>90</v>
      </c>
      <c r="DD13">
        <v>0</v>
      </c>
      <c r="DE13">
        <v>0</v>
      </c>
      <c r="DF13">
        <v>0</v>
      </c>
      <c r="DG13">
        <v>190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46994400</v>
      </c>
      <c r="DY13" s="2">
        <f t="shared" si="29"/>
        <v>7704000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16264000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47010400</v>
      </c>
      <c r="EU13" s="2">
        <f t="shared" si="49"/>
        <v>7720000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16280000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3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15</v>
      </c>
      <c r="BP14">
        <v>15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 s="50">
        <v>0</v>
      </c>
      <c r="CE14">
        <v>0</v>
      </c>
      <c r="CF14">
        <v>152.995</v>
      </c>
      <c r="CG14">
        <v>0</v>
      </c>
      <c r="CH14">
        <v>8.0039999999999996</v>
      </c>
      <c r="CI14">
        <v>0</v>
      </c>
      <c r="CJ14">
        <v>23.616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20.521999999999998</v>
      </c>
      <c r="CR14">
        <v>66.358000000000004</v>
      </c>
      <c r="CS14">
        <v>22.753</v>
      </c>
      <c r="CT14">
        <v>5.0490000000000004</v>
      </c>
      <c r="CU14">
        <v>0</v>
      </c>
      <c r="CV14">
        <v>0</v>
      </c>
      <c r="CW14">
        <v>0</v>
      </c>
      <c r="CY14" s="49">
        <v>5</v>
      </c>
      <c r="CZ14">
        <v>0</v>
      </c>
      <c r="DA14">
        <v>0</v>
      </c>
      <c r="DB14">
        <v>167</v>
      </c>
      <c r="DC14">
        <v>0</v>
      </c>
      <c r="DD14">
        <v>14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78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14295200</v>
      </c>
      <c r="DY14" s="2">
        <f t="shared" si="29"/>
        <v>0</v>
      </c>
      <c r="DZ14" s="2">
        <f t="shared" si="30"/>
        <v>1198400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6676800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14311200</v>
      </c>
      <c r="EU14" s="2">
        <f t="shared" si="49"/>
        <v>0</v>
      </c>
      <c r="EV14" s="2">
        <f t="shared" si="50"/>
        <v>1214400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6692800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3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20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20</v>
      </c>
      <c r="BP15">
        <v>20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20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 s="50">
        <v>0</v>
      </c>
      <c r="CE15">
        <v>0</v>
      </c>
      <c r="CF15">
        <v>0</v>
      </c>
      <c r="CG15">
        <v>0</v>
      </c>
      <c r="CH15">
        <v>0</v>
      </c>
      <c r="CI15">
        <v>79.203999999999994</v>
      </c>
      <c r="CJ15">
        <v>0</v>
      </c>
      <c r="CK15">
        <v>0</v>
      </c>
      <c r="CL15">
        <v>0</v>
      </c>
      <c r="CM15">
        <v>495.32</v>
      </c>
      <c r="CN15">
        <v>0</v>
      </c>
      <c r="CO15">
        <v>0</v>
      </c>
      <c r="CP15">
        <v>189.05799999999999</v>
      </c>
      <c r="CQ15">
        <v>0</v>
      </c>
      <c r="CR15">
        <v>117.083</v>
      </c>
      <c r="CS15">
        <v>0</v>
      </c>
      <c r="CT15">
        <v>0</v>
      </c>
      <c r="CU15">
        <v>0</v>
      </c>
      <c r="CV15">
        <v>0</v>
      </c>
      <c r="CW15">
        <v>579.77200000000005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91</v>
      </c>
      <c r="DF15">
        <v>0</v>
      </c>
      <c r="DG15">
        <v>0</v>
      </c>
      <c r="DH15">
        <v>0</v>
      </c>
      <c r="DI15">
        <v>509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593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7789600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43570400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50760800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7805600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43586400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50776800</v>
      </c>
    </row>
    <row r="16" spans="1:167" x14ac:dyDescent="0.3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10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 s="50">
        <v>0</v>
      </c>
      <c r="CE16">
        <v>0</v>
      </c>
      <c r="CF16">
        <v>0</v>
      </c>
      <c r="CG16">
        <v>0</v>
      </c>
      <c r="CH16">
        <v>23.616</v>
      </c>
      <c r="CI16">
        <v>0</v>
      </c>
      <c r="CJ16">
        <v>42.134</v>
      </c>
      <c r="CK16">
        <v>0</v>
      </c>
      <c r="CL16">
        <v>0</v>
      </c>
      <c r="CM16">
        <v>352.88799999999998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136.685</v>
      </c>
      <c r="CU16">
        <v>0</v>
      </c>
      <c r="CV16">
        <v>0</v>
      </c>
      <c r="CW16">
        <v>379.13400000000001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53</v>
      </c>
      <c r="DG16">
        <v>0</v>
      </c>
      <c r="DH16">
        <v>0</v>
      </c>
      <c r="DI16">
        <v>368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394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4536800</v>
      </c>
      <c r="EC16" s="2">
        <f t="shared" si="33"/>
        <v>0</v>
      </c>
      <c r="ED16" s="2">
        <f t="shared" si="34"/>
        <v>0</v>
      </c>
      <c r="EE16" s="2">
        <f t="shared" si="35"/>
        <v>31500800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33726400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4552800</v>
      </c>
      <c r="EY16" s="2">
        <f t="shared" si="53"/>
        <v>0</v>
      </c>
      <c r="EZ16" s="2">
        <f t="shared" si="54"/>
        <v>0</v>
      </c>
      <c r="FA16" s="2">
        <f t="shared" si="55"/>
        <v>31516800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33742400</v>
      </c>
    </row>
    <row r="17" spans="1:167" x14ac:dyDescent="0.3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 s="50">
        <v>348.59899999999999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69.179000000000002</v>
      </c>
      <c r="CL17">
        <v>1794.5440000000001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90.19</v>
      </c>
      <c r="CS17">
        <v>523.10199999999998</v>
      </c>
      <c r="CT17">
        <v>0</v>
      </c>
      <c r="CU17">
        <v>0</v>
      </c>
      <c r="CV17">
        <v>0</v>
      </c>
      <c r="CW17">
        <v>0</v>
      </c>
      <c r="CY17" s="49">
        <v>8</v>
      </c>
      <c r="CZ17">
        <v>363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81</v>
      </c>
      <c r="DH17">
        <v>236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537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31072800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6933600</v>
      </c>
      <c r="ED17" s="2">
        <f t="shared" si="34"/>
        <v>20201600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45967200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31088800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6949600</v>
      </c>
      <c r="EZ17" s="2">
        <f t="shared" si="54"/>
        <v>20217600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45983200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3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 s="50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1154.1120000000001</v>
      </c>
      <c r="CL18">
        <v>13.058999999999999</v>
      </c>
      <c r="CM18">
        <v>0</v>
      </c>
      <c r="CN18">
        <v>298.411</v>
      </c>
      <c r="CO18">
        <v>1351.8420000000001</v>
      </c>
      <c r="CP18">
        <v>0</v>
      </c>
      <c r="CQ18">
        <v>262.791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323.29000000000002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307</v>
      </c>
      <c r="DH18">
        <v>20</v>
      </c>
      <c r="DI18">
        <v>0</v>
      </c>
      <c r="DJ18">
        <v>313</v>
      </c>
      <c r="DK18">
        <v>276</v>
      </c>
      <c r="DL18">
        <v>0</v>
      </c>
      <c r="DM18">
        <v>278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26279200</v>
      </c>
      <c r="ED18" s="2">
        <f t="shared" si="34"/>
        <v>1712000</v>
      </c>
      <c r="EE18" s="2">
        <f t="shared" si="35"/>
        <v>0</v>
      </c>
      <c r="EF18" s="2">
        <f t="shared" si="36"/>
        <v>26792800</v>
      </c>
      <c r="EG18" s="2">
        <f t="shared" si="37"/>
        <v>23625600</v>
      </c>
      <c r="EH18" s="2">
        <f t="shared" si="38"/>
        <v>0</v>
      </c>
      <c r="EI18" s="2">
        <f t="shared" si="39"/>
        <v>23796800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26295200</v>
      </c>
      <c r="EZ18" s="2">
        <f t="shared" si="54"/>
        <v>1728000</v>
      </c>
      <c r="FA18" s="2">
        <f t="shared" si="55"/>
        <v>0</v>
      </c>
      <c r="FB18" s="2">
        <f t="shared" si="56"/>
        <v>26808800</v>
      </c>
      <c r="FC18" s="2">
        <f t="shared" si="57"/>
        <v>23641600</v>
      </c>
      <c r="FD18" s="2">
        <f t="shared" si="58"/>
        <v>0</v>
      </c>
      <c r="FE18" s="2">
        <f t="shared" si="59"/>
        <v>23812800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3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3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16</v>
      </c>
      <c r="BX19">
        <v>7</v>
      </c>
      <c r="BY19">
        <v>3</v>
      </c>
      <c r="BZ19">
        <v>3</v>
      </c>
      <c r="CA19">
        <v>6</v>
      </c>
      <c r="CC19" s="49">
        <v>10</v>
      </c>
      <c r="CD19" s="50">
        <v>0</v>
      </c>
      <c r="CE19">
        <v>0</v>
      </c>
      <c r="CF19">
        <v>1743.875</v>
      </c>
      <c r="CG19">
        <v>0</v>
      </c>
      <c r="CH19">
        <v>0</v>
      </c>
      <c r="CI19">
        <v>727.33</v>
      </c>
      <c r="CJ19">
        <v>305.80200000000002</v>
      </c>
      <c r="CK19">
        <v>0</v>
      </c>
      <c r="CL19">
        <v>0</v>
      </c>
      <c r="CM19">
        <v>4.4269999999999996</v>
      </c>
      <c r="CN19">
        <v>0</v>
      </c>
      <c r="CO19">
        <v>994.52800000000002</v>
      </c>
      <c r="CP19">
        <v>0</v>
      </c>
      <c r="CQ19">
        <v>0</v>
      </c>
      <c r="CR19">
        <v>0</v>
      </c>
      <c r="CS19">
        <v>171.876</v>
      </c>
      <c r="CT19">
        <v>0</v>
      </c>
      <c r="CU19">
        <v>0</v>
      </c>
      <c r="CV19">
        <v>0</v>
      </c>
      <c r="CW19">
        <v>0</v>
      </c>
      <c r="CY19" s="49">
        <v>10</v>
      </c>
      <c r="CZ19">
        <v>0</v>
      </c>
      <c r="DA19">
        <v>0</v>
      </c>
      <c r="DB19">
        <v>239</v>
      </c>
      <c r="DC19">
        <v>0</v>
      </c>
      <c r="DD19">
        <v>0</v>
      </c>
      <c r="DE19">
        <v>585</v>
      </c>
      <c r="DF19">
        <v>321</v>
      </c>
      <c r="DG19">
        <v>0</v>
      </c>
      <c r="DH19">
        <v>0</v>
      </c>
      <c r="DI19">
        <v>10</v>
      </c>
      <c r="DJ19">
        <v>0</v>
      </c>
      <c r="DK19">
        <v>348</v>
      </c>
      <c r="DL19">
        <v>0</v>
      </c>
      <c r="DM19">
        <v>0</v>
      </c>
      <c r="DN19">
        <v>0</v>
      </c>
      <c r="DO19">
        <v>186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20458400</v>
      </c>
      <c r="DY19" s="2">
        <f t="shared" si="29"/>
        <v>0</v>
      </c>
      <c r="DZ19" s="2">
        <f t="shared" si="30"/>
        <v>0</v>
      </c>
      <c r="EA19" s="2">
        <f t="shared" si="31"/>
        <v>50076000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856000</v>
      </c>
      <c r="EF19" s="2">
        <f t="shared" si="36"/>
        <v>0</v>
      </c>
      <c r="EG19" s="2">
        <f t="shared" si="37"/>
        <v>29788800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15921600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20474400</v>
      </c>
      <c r="EU19" s="2">
        <f t="shared" si="49"/>
        <v>0</v>
      </c>
      <c r="EV19" s="2">
        <f t="shared" si="50"/>
        <v>0</v>
      </c>
      <c r="EW19" s="2">
        <f t="shared" si="51"/>
        <v>50092000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872000</v>
      </c>
      <c r="FB19" s="2">
        <f t="shared" si="56"/>
        <v>0</v>
      </c>
      <c r="FC19" s="2">
        <f t="shared" si="57"/>
        <v>29804800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15937600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3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 s="50">
        <v>0</v>
      </c>
      <c r="CE20">
        <v>58.365000000000002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459.58699999999999</v>
      </c>
      <c r="CM20">
        <v>0</v>
      </c>
      <c r="CN20">
        <v>68.911000000000001</v>
      </c>
      <c r="CO20">
        <v>452.51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474</v>
      </c>
      <c r="DI20">
        <v>0</v>
      </c>
      <c r="DJ20">
        <v>81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40574400</v>
      </c>
      <c r="EE20" s="2">
        <f t="shared" si="35"/>
        <v>0</v>
      </c>
      <c r="EF20" s="2">
        <f t="shared" si="36"/>
        <v>6933600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40590400</v>
      </c>
      <c r="FA20" s="2">
        <f t="shared" si="55"/>
        <v>0</v>
      </c>
      <c r="FB20" s="2">
        <f t="shared" si="56"/>
        <v>6949600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3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10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11</v>
      </c>
      <c r="BP21">
        <v>11</v>
      </c>
      <c r="BQ21">
        <v>10</v>
      </c>
      <c r="BR21">
        <v>11</v>
      </c>
      <c r="BS21">
        <v>12</v>
      </c>
      <c r="BT21">
        <v>10</v>
      </c>
      <c r="BU21">
        <v>2</v>
      </c>
      <c r="BV21">
        <v>10</v>
      </c>
      <c r="BW21">
        <v>10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 s="50">
        <v>0</v>
      </c>
      <c r="CE21">
        <v>622.61500000000001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2049.6889999999999</v>
      </c>
      <c r="CN21">
        <v>529.79899999999998</v>
      </c>
      <c r="CO21">
        <v>1.405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49">
        <v>12</v>
      </c>
      <c r="CZ21">
        <v>0</v>
      </c>
      <c r="DA21">
        <v>636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222</v>
      </c>
      <c r="DJ21">
        <v>544</v>
      </c>
      <c r="DK21">
        <v>5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54441600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0</v>
      </c>
      <c r="EE21" s="2">
        <f t="shared" si="35"/>
        <v>19003200</v>
      </c>
      <c r="EF21" s="2">
        <f t="shared" si="36"/>
        <v>46566400</v>
      </c>
      <c r="EG21" s="2">
        <f t="shared" si="37"/>
        <v>428000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54457600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0</v>
      </c>
      <c r="FA21" s="2">
        <f t="shared" si="55"/>
        <v>19019200</v>
      </c>
      <c r="FB21" s="2">
        <f t="shared" si="56"/>
        <v>46582400</v>
      </c>
      <c r="FC21" s="2">
        <f t="shared" si="57"/>
        <v>444000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3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6</v>
      </c>
      <c r="BP22">
        <v>6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 s="50">
        <v>40.957999999999998</v>
      </c>
      <c r="CE22">
        <v>0</v>
      </c>
      <c r="CF22">
        <v>0</v>
      </c>
      <c r="CG22">
        <v>0</v>
      </c>
      <c r="CH22">
        <v>0</v>
      </c>
      <c r="CI22">
        <v>269.22199999999998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45.143999999999998</v>
      </c>
      <c r="CQ22">
        <v>0</v>
      </c>
      <c r="CR22">
        <v>0</v>
      </c>
      <c r="CS22">
        <v>0</v>
      </c>
      <c r="CT22">
        <v>71.015000000000001</v>
      </c>
      <c r="CU22">
        <v>405.52199999999999</v>
      </c>
      <c r="CV22">
        <v>0</v>
      </c>
      <c r="CW22">
        <v>0</v>
      </c>
      <c r="CY22" s="49">
        <v>13</v>
      </c>
      <c r="CZ22">
        <v>51</v>
      </c>
      <c r="DA22">
        <v>0</v>
      </c>
      <c r="DB22">
        <v>0</v>
      </c>
      <c r="DC22">
        <v>0</v>
      </c>
      <c r="DD22">
        <v>0</v>
      </c>
      <c r="DE22">
        <v>284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56</v>
      </c>
      <c r="DM22">
        <v>0</v>
      </c>
      <c r="DN22">
        <v>0</v>
      </c>
      <c r="DO22">
        <v>0</v>
      </c>
      <c r="DP22">
        <v>83</v>
      </c>
      <c r="DQ22">
        <v>420</v>
      </c>
      <c r="DR22">
        <v>0</v>
      </c>
      <c r="DS22">
        <v>0</v>
      </c>
      <c r="DU22" s="49">
        <v>13</v>
      </c>
      <c r="DV22" s="2">
        <f t="shared" si="26"/>
        <v>4365600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24310400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4793600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35952000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4381600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24326400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4809600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35968000</v>
      </c>
      <c r="FJ22" s="2">
        <f t="shared" si="64"/>
        <v>0</v>
      </c>
      <c r="FK22" s="2">
        <f t="shared" si="65"/>
        <v>0</v>
      </c>
    </row>
    <row r="23" spans="1:167" x14ac:dyDescent="0.3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 s="50">
        <v>0</v>
      </c>
      <c r="CE23">
        <v>51.000999999999998</v>
      </c>
      <c r="CF23">
        <v>0</v>
      </c>
      <c r="CG23">
        <v>232.011</v>
      </c>
      <c r="CH23">
        <v>20.521999999999998</v>
      </c>
      <c r="CI23">
        <v>0</v>
      </c>
      <c r="CJ23">
        <v>0</v>
      </c>
      <c r="CK23">
        <v>0</v>
      </c>
      <c r="CL23">
        <v>411.24400000000003</v>
      </c>
      <c r="CM23">
        <v>0</v>
      </c>
      <c r="CN23">
        <v>0</v>
      </c>
      <c r="CO23">
        <v>0</v>
      </c>
      <c r="CP23">
        <v>0</v>
      </c>
      <c r="CQ23">
        <v>52.62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64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5478400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5494400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3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 s="50">
        <v>0</v>
      </c>
      <c r="CE24">
        <v>18.449000000000002</v>
      </c>
      <c r="CF24">
        <v>0</v>
      </c>
      <c r="CG24">
        <v>42.112000000000002</v>
      </c>
      <c r="CH24">
        <v>32.601999999999997</v>
      </c>
      <c r="CI24">
        <v>117.083</v>
      </c>
      <c r="CJ24">
        <v>0</v>
      </c>
      <c r="CK24">
        <v>123.946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6.8849999999999998</v>
      </c>
      <c r="CS24">
        <v>0</v>
      </c>
      <c r="CT24">
        <v>0</v>
      </c>
      <c r="CU24">
        <v>0</v>
      </c>
      <c r="CV24">
        <v>20.632000000000001</v>
      </c>
      <c r="CW24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137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13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11727200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1112800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11743200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1128800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3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 s="50">
        <v>0</v>
      </c>
      <c r="CE25">
        <v>0</v>
      </c>
      <c r="CF25">
        <v>0</v>
      </c>
      <c r="CG25">
        <v>0</v>
      </c>
      <c r="CH25">
        <v>22.753</v>
      </c>
      <c r="CI25">
        <v>0</v>
      </c>
      <c r="CJ25">
        <v>0</v>
      </c>
      <c r="CK25">
        <v>694.97900000000004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64.677999999999997</v>
      </c>
      <c r="CT25">
        <v>68.388000000000005</v>
      </c>
      <c r="CU25">
        <v>0</v>
      </c>
      <c r="CV25">
        <v>0</v>
      </c>
      <c r="CW25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76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6505600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6521600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3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2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 s="50">
        <v>0</v>
      </c>
      <c r="CE26">
        <v>25.492999999999999</v>
      </c>
      <c r="CF26">
        <v>0</v>
      </c>
      <c r="CG26">
        <v>0</v>
      </c>
      <c r="CH26">
        <v>5.0490000000000004</v>
      </c>
      <c r="CI26">
        <v>0</v>
      </c>
      <c r="CJ26">
        <v>123.739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71.015000000000001</v>
      </c>
      <c r="CQ26">
        <v>0</v>
      </c>
      <c r="CR26">
        <v>0</v>
      </c>
      <c r="CS26">
        <v>68.388000000000005</v>
      </c>
      <c r="CT26">
        <v>3.1850000000000001</v>
      </c>
      <c r="CU26">
        <v>0</v>
      </c>
      <c r="CV26">
        <v>0</v>
      </c>
      <c r="CW26">
        <v>0</v>
      </c>
      <c r="CY26" s="49">
        <v>17</v>
      </c>
      <c r="CZ26">
        <v>0</v>
      </c>
      <c r="DA26">
        <v>34</v>
      </c>
      <c r="DB26">
        <v>0</v>
      </c>
      <c r="DC26">
        <v>0</v>
      </c>
      <c r="DD26">
        <v>10</v>
      </c>
      <c r="DE26">
        <v>0</v>
      </c>
      <c r="DF26">
        <v>137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8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2910400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11727200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684800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2926400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11743200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700800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3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9</v>
      </c>
      <c r="BP27">
        <v>9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9</v>
      </c>
      <c r="BX27">
        <v>13</v>
      </c>
      <c r="BY27">
        <v>18</v>
      </c>
      <c r="BZ27">
        <v>3</v>
      </c>
      <c r="CA27">
        <v>13</v>
      </c>
      <c r="CC27" s="49">
        <v>18</v>
      </c>
      <c r="CD27" s="50">
        <v>0</v>
      </c>
      <c r="CE27">
        <v>66.891999999999996</v>
      </c>
      <c r="CF27">
        <v>412.06299999999999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55.828000000000003</v>
      </c>
      <c r="CM27">
        <v>0</v>
      </c>
      <c r="CN27">
        <v>0</v>
      </c>
      <c r="CO27">
        <v>0</v>
      </c>
      <c r="CP27">
        <v>526.64499999999998</v>
      </c>
      <c r="CQ27">
        <v>0</v>
      </c>
      <c r="CR27">
        <v>0</v>
      </c>
      <c r="CS27">
        <v>0</v>
      </c>
      <c r="CT27">
        <v>0</v>
      </c>
      <c r="CU27">
        <v>7.8120000000000003</v>
      </c>
      <c r="CV27">
        <v>0</v>
      </c>
      <c r="CW27">
        <v>0</v>
      </c>
      <c r="CY27" s="49">
        <v>18</v>
      </c>
      <c r="CZ27">
        <v>0</v>
      </c>
      <c r="DA27">
        <v>79</v>
      </c>
      <c r="DB27">
        <v>427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67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14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36551200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5735200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1198400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36567200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5751200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1214400</v>
      </c>
      <c r="FJ27" s="2">
        <f t="shared" si="64"/>
        <v>0</v>
      </c>
      <c r="FK27" s="2">
        <f t="shared" si="65"/>
        <v>0</v>
      </c>
    </row>
    <row r="28" spans="1:167" ht="15" thickBot="1" x14ac:dyDescent="0.35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9</v>
      </c>
      <c r="BP28">
        <v>9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 s="50">
        <v>0</v>
      </c>
      <c r="CE28">
        <v>0</v>
      </c>
      <c r="CF28">
        <v>655.53399999999999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93.811000000000007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20.632000000000001</v>
      </c>
      <c r="CS28">
        <v>0</v>
      </c>
      <c r="CT28">
        <v>0</v>
      </c>
      <c r="CU28">
        <v>0</v>
      </c>
      <c r="CV28">
        <v>61.822000000000003</v>
      </c>
      <c r="CW28">
        <v>0</v>
      </c>
      <c r="CY28" s="49">
        <v>19</v>
      </c>
      <c r="CZ28">
        <v>0</v>
      </c>
      <c r="DA28">
        <v>0</v>
      </c>
      <c r="DB28">
        <v>668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107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73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57180800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9159200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6248800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57196800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9175200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6264800</v>
      </c>
      <c r="FK28" s="2">
        <f t="shared" si="65"/>
        <v>0</v>
      </c>
    </row>
    <row r="29" spans="1:167" x14ac:dyDescent="0.3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 s="50">
        <v>0</v>
      </c>
      <c r="CE29">
        <v>0</v>
      </c>
      <c r="CF29">
        <v>0</v>
      </c>
      <c r="CG29">
        <v>0</v>
      </c>
      <c r="CH29">
        <v>0</v>
      </c>
      <c r="CI29">
        <v>267.59699999999998</v>
      </c>
      <c r="CJ29">
        <v>439.16699999999997</v>
      </c>
      <c r="CK29">
        <v>0</v>
      </c>
      <c r="CL29">
        <v>575.43200000000002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3.4460000000000002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589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8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50418400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684800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50434400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700800</v>
      </c>
    </row>
    <row r="30" spans="1:167" ht="14.4" hidden="1" customHeight="1" x14ac:dyDescent="0.3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3">
      <c r="BZ31" t="s">
        <v>25</v>
      </c>
      <c r="CA31">
        <f>SUM(BH10:CA29)</f>
        <v>3698</v>
      </c>
    </row>
    <row r="32" spans="1:167" ht="15" hidden="1" thickBot="1" x14ac:dyDescent="0.35">
      <c r="A32" s="33" t="s">
        <v>13</v>
      </c>
      <c r="B32" s="34">
        <v>0</v>
      </c>
    </row>
    <row r="33" spans="1:167" ht="15" hidden="1" thickBot="1" x14ac:dyDescent="0.35">
      <c r="A33" s="33" t="s">
        <v>14</v>
      </c>
      <c r="B33" s="33">
        <v>100</v>
      </c>
    </row>
    <row r="34" spans="1:167" ht="15" hidden="1" thickBot="1" x14ac:dyDescent="0.35">
      <c r="A34" s="33" t="s">
        <v>15</v>
      </c>
      <c r="B34" s="33">
        <v>0.5</v>
      </c>
    </row>
    <row r="35" spans="1:167" ht="15" hidden="1" thickBot="1" x14ac:dyDescent="0.35">
      <c r="A35" s="35" t="s">
        <v>16</v>
      </c>
      <c r="B35" s="35">
        <v>20</v>
      </c>
    </row>
    <row r="36" spans="1:167" x14ac:dyDescent="0.3">
      <c r="BC36" t="s">
        <v>25</v>
      </c>
      <c r="BD36">
        <f>SUM(AK10:BD29)</f>
        <v>11191.600000000004</v>
      </c>
      <c r="CV36" t="s">
        <v>25</v>
      </c>
      <c r="CW36">
        <f>SUM(CD10:CW29)</f>
        <v>29927.644</v>
      </c>
      <c r="DR36" t="s">
        <v>25</v>
      </c>
      <c r="DS36">
        <f>SUM(CZ10:DS29)</f>
        <v>21722</v>
      </c>
      <c r="EN36" t="s">
        <v>25</v>
      </c>
      <c r="EO36">
        <f>SUM(DV10:EO29)</f>
        <v>1859403200</v>
      </c>
      <c r="FJ36" t="s">
        <v>25</v>
      </c>
      <c r="FK36">
        <f>SUM(ER10:FK29)</f>
        <v>1861051200</v>
      </c>
    </row>
    <row r="38" spans="1:167" ht="15" thickBot="1" x14ac:dyDescent="0.35"/>
    <row r="39" spans="1:167" ht="15" thickBot="1" x14ac:dyDescent="0.35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7620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C4985-FF06-4A24-A1FB-3295E7BDE72F}">
  <dimension ref="A1:T85"/>
  <sheetViews>
    <sheetView topLeftCell="A59" workbookViewId="0">
      <selection activeCell="T86" sqref="T86"/>
    </sheetView>
  </sheetViews>
  <sheetFormatPr defaultRowHeight="14.4" x14ac:dyDescent="0.3"/>
  <cols>
    <col min="20" max="20" width="11" bestFit="1" customWidth="1"/>
  </cols>
  <sheetData>
    <row r="1" spans="1:20" x14ac:dyDescent="0.3">
      <c r="A1">
        <v>1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>
        <v>8</v>
      </c>
      <c r="J1">
        <v>8</v>
      </c>
      <c r="K1">
        <v>8</v>
      </c>
      <c r="L1">
        <v>8</v>
      </c>
      <c r="M1">
        <v>8</v>
      </c>
      <c r="N1">
        <v>8</v>
      </c>
      <c r="O1">
        <v>8</v>
      </c>
      <c r="P1">
        <v>8</v>
      </c>
      <c r="Q1">
        <v>8</v>
      </c>
      <c r="R1">
        <v>8</v>
      </c>
      <c r="S1">
        <v>8</v>
      </c>
      <c r="T1">
        <v>8</v>
      </c>
    </row>
    <row r="2" spans="1:20" x14ac:dyDescent="0.3">
      <c r="A2">
        <v>12</v>
      </c>
      <c r="B2">
        <v>2</v>
      </c>
      <c r="C2">
        <v>12</v>
      </c>
      <c r="D2">
        <v>12</v>
      </c>
      <c r="E2">
        <v>12</v>
      </c>
      <c r="F2">
        <v>12</v>
      </c>
      <c r="G2">
        <v>12</v>
      </c>
      <c r="H2">
        <v>11</v>
      </c>
      <c r="I2">
        <v>11</v>
      </c>
      <c r="J2">
        <v>12</v>
      </c>
      <c r="K2">
        <v>11</v>
      </c>
      <c r="L2">
        <v>12</v>
      </c>
      <c r="M2">
        <v>18</v>
      </c>
      <c r="N2">
        <v>14</v>
      </c>
      <c r="O2">
        <v>15</v>
      </c>
      <c r="P2">
        <v>12</v>
      </c>
      <c r="Q2">
        <v>17</v>
      </c>
      <c r="R2">
        <v>18</v>
      </c>
      <c r="S2">
        <v>12</v>
      </c>
      <c r="T2">
        <v>12</v>
      </c>
    </row>
    <row r="3" spans="1:20" x14ac:dyDescent="0.3">
      <c r="A3">
        <v>1</v>
      </c>
      <c r="B3">
        <v>10</v>
      </c>
      <c r="C3">
        <v>3</v>
      </c>
      <c r="D3">
        <v>4</v>
      </c>
      <c r="E3">
        <v>5</v>
      </c>
      <c r="F3">
        <v>10</v>
      </c>
      <c r="G3">
        <v>10</v>
      </c>
      <c r="H3">
        <v>10</v>
      </c>
      <c r="I3">
        <v>10</v>
      </c>
      <c r="J3">
        <v>10</v>
      </c>
      <c r="K3">
        <v>10</v>
      </c>
      <c r="L3">
        <v>10</v>
      </c>
      <c r="M3">
        <v>18</v>
      </c>
      <c r="N3">
        <v>4</v>
      </c>
      <c r="O3">
        <v>10</v>
      </c>
      <c r="P3">
        <v>10</v>
      </c>
      <c r="Q3">
        <v>10</v>
      </c>
      <c r="R3">
        <v>18</v>
      </c>
      <c r="S3">
        <v>19</v>
      </c>
      <c r="T3">
        <v>10</v>
      </c>
    </row>
    <row r="4" spans="1:20" x14ac:dyDescent="0.3">
      <c r="A4">
        <v>3</v>
      </c>
      <c r="B4">
        <v>3</v>
      </c>
      <c r="C4">
        <v>3</v>
      </c>
      <c r="D4">
        <v>4</v>
      </c>
      <c r="E4">
        <v>3</v>
      </c>
      <c r="F4">
        <v>3</v>
      </c>
      <c r="G4">
        <v>3</v>
      </c>
      <c r="H4">
        <v>8</v>
      </c>
      <c r="I4">
        <v>8</v>
      </c>
      <c r="J4">
        <v>3</v>
      </c>
      <c r="K4">
        <v>3</v>
      </c>
      <c r="L4">
        <v>3</v>
      </c>
      <c r="M4">
        <v>3</v>
      </c>
      <c r="N4">
        <v>14</v>
      </c>
      <c r="O4">
        <v>15</v>
      </c>
      <c r="P4">
        <v>8</v>
      </c>
      <c r="Q4">
        <v>3</v>
      </c>
      <c r="R4">
        <v>3</v>
      </c>
      <c r="S4">
        <v>3</v>
      </c>
      <c r="T4">
        <v>3</v>
      </c>
    </row>
    <row r="5" spans="1:20" x14ac:dyDescent="0.3">
      <c r="A5">
        <v>3</v>
      </c>
      <c r="B5">
        <v>3</v>
      </c>
      <c r="C5">
        <v>3</v>
      </c>
      <c r="D5">
        <v>3</v>
      </c>
      <c r="E5">
        <v>5</v>
      </c>
      <c r="F5">
        <v>15</v>
      </c>
      <c r="G5">
        <v>7</v>
      </c>
      <c r="H5">
        <v>15</v>
      </c>
      <c r="I5">
        <v>15</v>
      </c>
      <c r="J5">
        <v>3</v>
      </c>
      <c r="K5">
        <v>3</v>
      </c>
      <c r="L5">
        <v>3</v>
      </c>
      <c r="M5">
        <v>3</v>
      </c>
      <c r="N5">
        <v>14</v>
      </c>
      <c r="O5">
        <v>15</v>
      </c>
      <c r="P5">
        <v>16</v>
      </c>
      <c r="Q5">
        <v>17</v>
      </c>
      <c r="R5">
        <v>3</v>
      </c>
      <c r="S5">
        <v>3</v>
      </c>
      <c r="T5">
        <v>7</v>
      </c>
    </row>
    <row r="6" spans="1:20" x14ac:dyDescent="0.3">
      <c r="A6">
        <v>20</v>
      </c>
      <c r="B6">
        <v>10</v>
      </c>
      <c r="C6">
        <v>10</v>
      </c>
      <c r="D6">
        <v>10</v>
      </c>
      <c r="E6">
        <v>15</v>
      </c>
      <c r="F6">
        <v>6</v>
      </c>
      <c r="G6">
        <v>20</v>
      </c>
      <c r="H6">
        <v>20</v>
      </c>
      <c r="I6">
        <v>20</v>
      </c>
      <c r="J6">
        <v>10</v>
      </c>
      <c r="K6">
        <v>10</v>
      </c>
      <c r="L6">
        <v>10</v>
      </c>
      <c r="M6">
        <v>13</v>
      </c>
      <c r="N6">
        <v>10</v>
      </c>
      <c r="O6">
        <v>15</v>
      </c>
      <c r="P6">
        <v>20</v>
      </c>
      <c r="Q6">
        <v>20</v>
      </c>
      <c r="R6">
        <v>13</v>
      </c>
      <c r="S6">
        <v>10</v>
      </c>
      <c r="T6">
        <v>20</v>
      </c>
    </row>
    <row r="7" spans="1:20" x14ac:dyDescent="0.3">
      <c r="A7">
        <v>20</v>
      </c>
      <c r="B7">
        <v>10</v>
      </c>
      <c r="C7">
        <v>10</v>
      </c>
      <c r="D7">
        <v>10</v>
      </c>
      <c r="E7">
        <v>5</v>
      </c>
      <c r="F7">
        <v>20</v>
      </c>
      <c r="G7">
        <v>7</v>
      </c>
      <c r="H7">
        <v>20</v>
      </c>
      <c r="I7">
        <v>20</v>
      </c>
      <c r="J7">
        <v>10</v>
      </c>
      <c r="K7">
        <v>10</v>
      </c>
      <c r="L7">
        <v>10</v>
      </c>
      <c r="M7">
        <v>20</v>
      </c>
      <c r="N7">
        <v>10</v>
      </c>
      <c r="O7">
        <v>20</v>
      </c>
      <c r="P7">
        <v>20</v>
      </c>
      <c r="Q7">
        <v>17</v>
      </c>
      <c r="R7">
        <v>20</v>
      </c>
      <c r="S7">
        <v>10</v>
      </c>
      <c r="T7">
        <v>20</v>
      </c>
    </row>
    <row r="8" spans="1:20" x14ac:dyDescent="0.3">
      <c r="A8">
        <v>1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15</v>
      </c>
      <c r="P8">
        <v>16</v>
      </c>
      <c r="Q8">
        <v>9</v>
      </c>
      <c r="R8">
        <v>9</v>
      </c>
      <c r="S8">
        <v>9</v>
      </c>
      <c r="T8">
        <v>9</v>
      </c>
    </row>
    <row r="9" spans="1:20" x14ac:dyDescent="0.3">
      <c r="A9">
        <v>8</v>
      </c>
      <c r="B9">
        <v>12</v>
      </c>
      <c r="C9">
        <v>12</v>
      </c>
      <c r="D9">
        <v>12</v>
      </c>
      <c r="E9">
        <v>12</v>
      </c>
      <c r="F9">
        <v>12</v>
      </c>
      <c r="G9">
        <v>20</v>
      </c>
      <c r="H9">
        <v>8</v>
      </c>
      <c r="I9">
        <v>9</v>
      </c>
      <c r="J9">
        <v>12</v>
      </c>
      <c r="K9">
        <v>11</v>
      </c>
      <c r="L9">
        <v>12</v>
      </c>
      <c r="M9">
        <v>12</v>
      </c>
      <c r="N9">
        <v>14</v>
      </c>
      <c r="O9">
        <v>8</v>
      </c>
      <c r="P9">
        <v>8</v>
      </c>
      <c r="Q9">
        <v>20</v>
      </c>
      <c r="R9">
        <v>12</v>
      </c>
      <c r="S9">
        <v>12</v>
      </c>
      <c r="T9">
        <v>20</v>
      </c>
    </row>
    <row r="10" spans="1:20" x14ac:dyDescent="0.3">
      <c r="A10">
        <v>3</v>
      </c>
      <c r="B10">
        <v>12</v>
      </c>
      <c r="C10">
        <v>3</v>
      </c>
      <c r="D10">
        <v>3</v>
      </c>
      <c r="E10">
        <v>3</v>
      </c>
      <c r="F10">
        <v>6</v>
      </c>
      <c r="G10">
        <v>7</v>
      </c>
      <c r="H10">
        <v>12</v>
      </c>
      <c r="I10">
        <v>12</v>
      </c>
      <c r="J10">
        <v>10</v>
      </c>
      <c r="K10">
        <v>12</v>
      </c>
      <c r="L10">
        <v>12</v>
      </c>
      <c r="M10">
        <v>3</v>
      </c>
      <c r="N10">
        <v>12</v>
      </c>
      <c r="O10">
        <v>6</v>
      </c>
      <c r="P10">
        <v>16</v>
      </c>
      <c r="Q10">
        <v>7</v>
      </c>
      <c r="R10">
        <v>3</v>
      </c>
      <c r="S10">
        <v>3</v>
      </c>
      <c r="T10">
        <v>6</v>
      </c>
    </row>
    <row r="11" spans="1:20" x14ac:dyDescent="0.3">
      <c r="A11">
        <v>9</v>
      </c>
      <c r="B11">
        <v>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9</v>
      </c>
      <c r="I11">
        <v>9</v>
      </c>
      <c r="J11">
        <v>12</v>
      </c>
      <c r="K11">
        <v>11</v>
      </c>
      <c r="L11">
        <v>12</v>
      </c>
      <c r="M11">
        <v>12</v>
      </c>
      <c r="N11">
        <v>9</v>
      </c>
      <c r="O11">
        <v>9</v>
      </c>
      <c r="P11">
        <v>9</v>
      </c>
      <c r="Q11">
        <v>12</v>
      </c>
      <c r="R11">
        <v>12</v>
      </c>
      <c r="S11">
        <v>12</v>
      </c>
      <c r="T11">
        <v>12</v>
      </c>
    </row>
    <row r="12" spans="1:20" x14ac:dyDescent="0.3">
      <c r="A12">
        <v>10</v>
      </c>
      <c r="B12">
        <v>2</v>
      </c>
      <c r="C12">
        <v>10</v>
      </c>
      <c r="D12">
        <v>10</v>
      </c>
      <c r="E12">
        <v>10</v>
      </c>
      <c r="F12">
        <v>10</v>
      </c>
      <c r="G12">
        <v>10</v>
      </c>
      <c r="H12">
        <v>11</v>
      </c>
      <c r="I12">
        <v>11</v>
      </c>
      <c r="J12">
        <v>10</v>
      </c>
      <c r="K12">
        <v>11</v>
      </c>
      <c r="L12">
        <v>12</v>
      </c>
      <c r="M12">
        <v>10</v>
      </c>
      <c r="N12">
        <v>2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10</v>
      </c>
    </row>
    <row r="13" spans="1:20" x14ac:dyDescent="0.3">
      <c r="A13">
        <v>1</v>
      </c>
      <c r="B13">
        <v>18</v>
      </c>
      <c r="C13">
        <v>18</v>
      </c>
      <c r="D13">
        <v>18</v>
      </c>
      <c r="E13">
        <v>18</v>
      </c>
      <c r="F13">
        <v>6</v>
      </c>
      <c r="G13">
        <v>6</v>
      </c>
      <c r="H13">
        <v>6</v>
      </c>
      <c r="I13">
        <v>6</v>
      </c>
      <c r="J13">
        <v>18</v>
      </c>
      <c r="K13">
        <v>18</v>
      </c>
      <c r="L13">
        <v>18</v>
      </c>
      <c r="M13">
        <v>13</v>
      </c>
      <c r="N13">
        <v>18</v>
      </c>
      <c r="O13">
        <v>6</v>
      </c>
      <c r="P13">
        <v>17</v>
      </c>
      <c r="Q13">
        <v>17</v>
      </c>
      <c r="R13">
        <v>18</v>
      </c>
      <c r="S13">
        <v>18</v>
      </c>
      <c r="T13">
        <v>6</v>
      </c>
    </row>
    <row r="14" spans="1:20" x14ac:dyDescent="0.3">
      <c r="A14">
        <v>9</v>
      </c>
      <c r="B14">
        <v>2</v>
      </c>
      <c r="C14">
        <v>4</v>
      </c>
      <c r="D14">
        <v>4</v>
      </c>
      <c r="E14">
        <v>5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4</v>
      </c>
      <c r="N14">
        <v>14</v>
      </c>
      <c r="O14">
        <v>4</v>
      </c>
      <c r="P14">
        <v>9</v>
      </c>
      <c r="Q14">
        <v>9</v>
      </c>
      <c r="R14">
        <v>4</v>
      </c>
      <c r="S14">
        <v>4</v>
      </c>
      <c r="T14">
        <v>9</v>
      </c>
    </row>
    <row r="15" spans="1:20" x14ac:dyDescent="0.3">
      <c r="A15">
        <v>8</v>
      </c>
      <c r="B15">
        <v>2</v>
      </c>
      <c r="C15">
        <v>6</v>
      </c>
      <c r="D15">
        <v>4</v>
      </c>
      <c r="E15">
        <v>5</v>
      </c>
      <c r="F15">
        <v>6</v>
      </c>
      <c r="G15">
        <v>6</v>
      </c>
      <c r="H15">
        <v>8</v>
      </c>
      <c r="I15">
        <v>8</v>
      </c>
      <c r="J15">
        <v>6</v>
      </c>
      <c r="K15">
        <v>8</v>
      </c>
      <c r="L15">
        <v>6</v>
      </c>
      <c r="M15">
        <v>6</v>
      </c>
      <c r="N15">
        <v>4</v>
      </c>
      <c r="O15">
        <v>15</v>
      </c>
      <c r="P15">
        <v>8</v>
      </c>
      <c r="Q15">
        <v>6</v>
      </c>
      <c r="R15">
        <v>6</v>
      </c>
      <c r="S15">
        <v>19</v>
      </c>
      <c r="T15">
        <v>6</v>
      </c>
    </row>
    <row r="16" spans="1:20" x14ac:dyDescent="0.3">
      <c r="A16">
        <v>8</v>
      </c>
      <c r="B16">
        <v>8</v>
      </c>
      <c r="C16">
        <v>8</v>
      </c>
      <c r="D16">
        <v>8</v>
      </c>
      <c r="E16">
        <v>5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17</v>
      </c>
      <c r="N16">
        <v>8</v>
      </c>
      <c r="O16">
        <v>8</v>
      </c>
      <c r="P16">
        <v>16</v>
      </c>
      <c r="Q16">
        <v>17</v>
      </c>
      <c r="R16">
        <v>8</v>
      </c>
      <c r="S16">
        <v>8</v>
      </c>
      <c r="T16">
        <v>8</v>
      </c>
    </row>
    <row r="17" spans="1:20" x14ac:dyDescent="0.3">
      <c r="A17">
        <v>7</v>
      </c>
      <c r="B17">
        <v>2</v>
      </c>
      <c r="C17">
        <v>7</v>
      </c>
      <c r="D17">
        <v>7</v>
      </c>
      <c r="E17">
        <v>5</v>
      </c>
      <c r="F17">
        <v>7</v>
      </c>
      <c r="G17">
        <v>7</v>
      </c>
      <c r="H17">
        <v>7</v>
      </c>
      <c r="I17">
        <v>7</v>
      </c>
      <c r="J17">
        <v>7</v>
      </c>
      <c r="K17">
        <v>7</v>
      </c>
      <c r="L17">
        <v>7</v>
      </c>
      <c r="M17">
        <v>13</v>
      </c>
      <c r="N17">
        <v>2</v>
      </c>
      <c r="O17">
        <v>7</v>
      </c>
      <c r="P17">
        <v>16</v>
      </c>
      <c r="Q17">
        <v>17</v>
      </c>
      <c r="R17">
        <v>13</v>
      </c>
      <c r="S17">
        <v>7</v>
      </c>
      <c r="T17">
        <v>7</v>
      </c>
    </row>
    <row r="18" spans="1:20" x14ac:dyDescent="0.3">
      <c r="A18">
        <v>3</v>
      </c>
      <c r="B18">
        <v>2</v>
      </c>
      <c r="C18">
        <v>3</v>
      </c>
      <c r="D18">
        <v>3</v>
      </c>
      <c r="E18">
        <v>3</v>
      </c>
      <c r="F18">
        <v>13</v>
      </c>
      <c r="G18">
        <v>13</v>
      </c>
      <c r="H18">
        <v>9</v>
      </c>
      <c r="I18">
        <v>9</v>
      </c>
      <c r="J18">
        <v>3</v>
      </c>
      <c r="K18">
        <v>3</v>
      </c>
      <c r="L18">
        <v>3</v>
      </c>
      <c r="M18">
        <v>13</v>
      </c>
      <c r="N18">
        <v>3</v>
      </c>
      <c r="O18">
        <v>13</v>
      </c>
      <c r="P18">
        <v>9</v>
      </c>
      <c r="Q18">
        <v>13</v>
      </c>
      <c r="R18">
        <v>18</v>
      </c>
      <c r="S18">
        <v>3</v>
      </c>
      <c r="T18">
        <v>13</v>
      </c>
    </row>
    <row r="19" spans="1:20" x14ac:dyDescent="0.3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9</v>
      </c>
      <c r="I19">
        <v>9</v>
      </c>
      <c r="J19">
        <v>3</v>
      </c>
      <c r="K19">
        <v>3</v>
      </c>
      <c r="L19">
        <v>3</v>
      </c>
      <c r="M19">
        <v>3</v>
      </c>
      <c r="N19">
        <v>3</v>
      </c>
      <c r="O19">
        <v>15</v>
      </c>
      <c r="P19">
        <v>3</v>
      </c>
      <c r="Q19">
        <v>3</v>
      </c>
      <c r="R19">
        <v>3</v>
      </c>
      <c r="S19">
        <v>19</v>
      </c>
      <c r="T19">
        <v>3</v>
      </c>
    </row>
    <row r="20" spans="1:20" x14ac:dyDescent="0.3">
      <c r="A20">
        <v>9</v>
      </c>
      <c r="B20">
        <v>6</v>
      </c>
      <c r="C20">
        <v>6</v>
      </c>
      <c r="D20">
        <v>6</v>
      </c>
      <c r="E20">
        <v>7</v>
      </c>
      <c r="F20">
        <v>6</v>
      </c>
      <c r="G20">
        <v>7</v>
      </c>
      <c r="H20">
        <v>9</v>
      </c>
      <c r="I20">
        <v>9</v>
      </c>
      <c r="J20">
        <v>6</v>
      </c>
      <c r="K20">
        <v>6</v>
      </c>
      <c r="L20">
        <v>6</v>
      </c>
      <c r="M20">
        <v>6</v>
      </c>
      <c r="N20">
        <v>9</v>
      </c>
      <c r="O20">
        <v>6</v>
      </c>
      <c r="P20">
        <v>9</v>
      </c>
      <c r="Q20">
        <v>7</v>
      </c>
      <c r="R20">
        <v>6</v>
      </c>
      <c r="S20">
        <v>6</v>
      </c>
      <c r="T20">
        <v>20</v>
      </c>
    </row>
    <row r="22" spans="1:20" x14ac:dyDescent="0.3">
      <c r="A22" s="50" t="s">
        <v>35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36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3">
      <c r="A23" s="50">
        <v>0</v>
      </c>
      <c r="B23" t="s">
        <v>37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38</v>
      </c>
      <c r="L23" t="s">
        <v>39</v>
      </c>
      <c r="M23">
        <v>0</v>
      </c>
      <c r="N23" t="s">
        <v>40</v>
      </c>
      <c r="O23" t="s">
        <v>41</v>
      </c>
      <c r="P23">
        <v>0</v>
      </c>
      <c r="Q23" t="s">
        <v>42</v>
      </c>
      <c r="R23" t="s">
        <v>43</v>
      </c>
      <c r="S23">
        <v>0</v>
      </c>
      <c r="T23">
        <v>0</v>
      </c>
    </row>
    <row r="24" spans="1:20" x14ac:dyDescent="0.3">
      <c r="A24" s="50" t="s">
        <v>44</v>
      </c>
      <c r="B24">
        <v>0</v>
      </c>
      <c r="C24" t="s">
        <v>45</v>
      </c>
      <c r="D24" t="s">
        <v>46</v>
      </c>
      <c r="E24" t="s">
        <v>47</v>
      </c>
      <c r="F24">
        <v>0</v>
      </c>
      <c r="G24">
        <v>0</v>
      </c>
      <c r="H24">
        <v>0</v>
      </c>
      <c r="I24">
        <v>0</v>
      </c>
      <c r="J24" t="s">
        <v>48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t="s">
        <v>49</v>
      </c>
      <c r="S24" t="s">
        <v>50</v>
      </c>
      <c r="T24">
        <v>0</v>
      </c>
    </row>
    <row r="25" spans="1:20" x14ac:dyDescent="0.3">
      <c r="A25" s="50">
        <v>0</v>
      </c>
      <c r="B25">
        <v>0</v>
      </c>
      <c r="C25" t="s">
        <v>51</v>
      </c>
      <c r="D25" t="s">
        <v>52</v>
      </c>
      <c r="E25">
        <v>0</v>
      </c>
      <c r="F25">
        <v>0</v>
      </c>
      <c r="G25">
        <v>0</v>
      </c>
      <c r="H25" t="s">
        <v>53</v>
      </c>
      <c r="I25">
        <v>0</v>
      </c>
      <c r="J25">
        <v>0</v>
      </c>
      <c r="K25">
        <v>0</v>
      </c>
      <c r="L25">
        <v>0</v>
      </c>
      <c r="M25">
        <v>0</v>
      </c>
      <c r="N25" t="s">
        <v>54</v>
      </c>
      <c r="O25" t="s">
        <v>55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3">
      <c r="A26" s="50">
        <v>0</v>
      </c>
      <c r="B26">
        <v>0</v>
      </c>
      <c r="C26" t="s">
        <v>56</v>
      </c>
      <c r="D26">
        <v>0</v>
      </c>
      <c r="E26" t="s">
        <v>57</v>
      </c>
      <c r="F26">
        <v>0</v>
      </c>
      <c r="G26" t="s">
        <v>58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">
        <v>59</v>
      </c>
      <c r="O26" t="s">
        <v>60</v>
      </c>
      <c r="P26" t="s">
        <v>61</v>
      </c>
      <c r="Q26" t="s">
        <v>62</v>
      </c>
      <c r="R26">
        <v>0</v>
      </c>
      <c r="S26">
        <v>0</v>
      </c>
      <c r="T26">
        <v>0</v>
      </c>
    </row>
    <row r="27" spans="1:20" x14ac:dyDescent="0.3">
      <c r="A27" s="50">
        <v>0</v>
      </c>
      <c r="B27">
        <v>0</v>
      </c>
      <c r="C27">
        <v>0</v>
      </c>
      <c r="D27">
        <v>0</v>
      </c>
      <c r="E27">
        <v>0</v>
      </c>
      <c r="F27" t="s">
        <v>63</v>
      </c>
      <c r="G27">
        <v>0</v>
      </c>
      <c r="H27">
        <v>0</v>
      </c>
      <c r="I27">
        <v>0</v>
      </c>
      <c r="J27" t="s">
        <v>64</v>
      </c>
      <c r="K27">
        <v>0</v>
      </c>
      <c r="L27">
        <v>0</v>
      </c>
      <c r="M27" t="s">
        <v>65</v>
      </c>
      <c r="N27">
        <v>0</v>
      </c>
      <c r="O27" t="s">
        <v>66</v>
      </c>
      <c r="P27">
        <v>0</v>
      </c>
      <c r="Q27">
        <v>0</v>
      </c>
      <c r="R27">
        <v>0</v>
      </c>
      <c r="S27">
        <v>0</v>
      </c>
      <c r="T27" t="s">
        <v>67</v>
      </c>
    </row>
    <row r="28" spans="1:20" x14ac:dyDescent="0.3">
      <c r="A28" s="50">
        <v>0</v>
      </c>
      <c r="B28">
        <v>0</v>
      </c>
      <c r="C28">
        <v>0</v>
      </c>
      <c r="D28">
        <v>0</v>
      </c>
      <c r="E28" t="s">
        <v>58</v>
      </c>
      <c r="F28">
        <v>0</v>
      </c>
      <c r="G28" t="s">
        <v>68</v>
      </c>
      <c r="H28">
        <v>0</v>
      </c>
      <c r="I28">
        <v>0</v>
      </c>
      <c r="J28" t="s">
        <v>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t="s">
        <v>70</v>
      </c>
      <c r="R28">
        <v>0</v>
      </c>
      <c r="S28">
        <v>0</v>
      </c>
      <c r="T28" t="s">
        <v>71</v>
      </c>
    </row>
    <row r="29" spans="1:20" x14ac:dyDescent="0.3">
      <c r="A29" s="50" t="s">
        <v>72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73</v>
      </c>
      <c r="I29" t="s">
        <v>74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75</v>
      </c>
      <c r="P29" t="s">
        <v>76</v>
      </c>
      <c r="Q29">
        <v>0</v>
      </c>
      <c r="R29">
        <v>0</v>
      </c>
      <c r="S29">
        <v>0</v>
      </c>
      <c r="T29">
        <v>0</v>
      </c>
    </row>
    <row r="30" spans="1:20" x14ac:dyDescent="0.3">
      <c r="A30" s="5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77</v>
      </c>
      <c r="I30" t="s">
        <v>78</v>
      </c>
      <c r="J30">
        <v>0</v>
      </c>
      <c r="K30" t="s">
        <v>79</v>
      </c>
      <c r="L30" t="s">
        <v>80</v>
      </c>
      <c r="M30">
        <v>0</v>
      </c>
      <c r="N30" t="s">
        <v>81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82</v>
      </c>
    </row>
    <row r="31" spans="1:20" x14ac:dyDescent="0.3">
      <c r="A31" s="50">
        <v>0</v>
      </c>
      <c r="B31">
        <v>0</v>
      </c>
      <c r="C31" t="s">
        <v>83</v>
      </c>
      <c r="D31">
        <v>0</v>
      </c>
      <c r="E31">
        <v>0</v>
      </c>
      <c r="F31" t="s">
        <v>84</v>
      </c>
      <c r="G31" t="s">
        <v>85</v>
      </c>
      <c r="H31">
        <v>0</v>
      </c>
      <c r="I31">
        <v>0</v>
      </c>
      <c r="J31" t="s">
        <v>86</v>
      </c>
      <c r="K31">
        <v>0</v>
      </c>
      <c r="L31" t="s">
        <v>87</v>
      </c>
      <c r="M31">
        <v>0</v>
      </c>
      <c r="N31">
        <v>0</v>
      </c>
      <c r="O31">
        <v>0</v>
      </c>
      <c r="P31" t="s">
        <v>88</v>
      </c>
      <c r="Q31">
        <v>0</v>
      </c>
      <c r="R31">
        <v>0</v>
      </c>
      <c r="S31">
        <v>0</v>
      </c>
      <c r="T31">
        <v>0</v>
      </c>
    </row>
    <row r="32" spans="1:20" x14ac:dyDescent="0.3">
      <c r="A32" s="50">
        <v>0</v>
      </c>
      <c r="B32" t="s">
        <v>89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90</v>
      </c>
      <c r="J32">
        <v>0</v>
      </c>
      <c r="K32" t="s">
        <v>91</v>
      </c>
      <c r="L32" t="s">
        <v>92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3">
      <c r="A33" s="50">
        <v>0</v>
      </c>
      <c r="B33" t="s">
        <v>93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94</v>
      </c>
      <c r="K33" t="s">
        <v>95</v>
      </c>
      <c r="L33" t="s">
        <v>96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3">
      <c r="A34" s="50" t="s">
        <v>97</v>
      </c>
      <c r="B34">
        <v>0</v>
      </c>
      <c r="C34">
        <v>0</v>
      </c>
      <c r="D34">
        <v>0</v>
      </c>
      <c r="E34">
        <v>0</v>
      </c>
      <c r="F34" t="s">
        <v>98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</v>
      </c>
      <c r="N34">
        <v>0</v>
      </c>
      <c r="O34">
        <v>0</v>
      </c>
      <c r="P34">
        <v>0</v>
      </c>
      <c r="Q34" t="s">
        <v>100</v>
      </c>
      <c r="R34" t="s">
        <v>101</v>
      </c>
      <c r="S34">
        <v>0</v>
      </c>
      <c r="T34">
        <v>0</v>
      </c>
    </row>
    <row r="35" spans="1:20" x14ac:dyDescent="0.3">
      <c r="A35" s="50">
        <v>0</v>
      </c>
      <c r="B35" t="s">
        <v>102</v>
      </c>
      <c r="C35">
        <v>0</v>
      </c>
      <c r="D35" t="s">
        <v>54</v>
      </c>
      <c r="E35" t="s">
        <v>59</v>
      </c>
      <c r="F35">
        <v>0</v>
      </c>
      <c r="G35">
        <v>0</v>
      </c>
      <c r="H35">
        <v>0</v>
      </c>
      <c r="I35" t="s">
        <v>103</v>
      </c>
      <c r="J35">
        <v>0</v>
      </c>
      <c r="K35">
        <v>0</v>
      </c>
      <c r="L35">
        <v>0</v>
      </c>
      <c r="M35">
        <v>0</v>
      </c>
      <c r="N35" t="s">
        <v>104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3">
      <c r="A36" s="50">
        <v>0</v>
      </c>
      <c r="B36" t="s">
        <v>41</v>
      </c>
      <c r="C36">
        <v>0</v>
      </c>
      <c r="D36" t="s">
        <v>55</v>
      </c>
      <c r="E36" t="s">
        <v>105</v>
      </c>
      <c r="F36" t="s">
        <v>66</v>
      </c>
      <c r="G36">
        <v>0</v>
      </c>
      <c r="H36" t="s">
        <v>106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107</v>
      </c>
      <c r="P36">
        <v>0</v>
      </c>
      <c r="Q36">
        <v>0</v>
      </c>
      <c r="R36">
        <v>0</v>
      </c>
      <c r="S36" t="s">
        <v>108</v>
      </c>
      <c r="T36">
        <v>0</v>
      </c>
    </row>
    <row r="37" spans="1:20" x14ac:dyDescent="0.3">
      <c r="A37" s="50">
        <v>0</v>
      </c>
      <c r="B37">
        <v>0</v>
      </c>
      <c r="C37">
        <v>0</v>
      </c>
      <c r="D37">
        <v>0</v>
      </c>
      <c r="E37" t="s">
        <v>61</v>
      </c>
      <c r="F37">
        <v>0</v>
      </c>
      <c r="G37">
        <v>0</v>
      </c>
      <c r="H37" t="s">
        <v>109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110</v>
      </c>
      <c r="Q37" t="s">
        <v>111</v>
      </c>
      <c r="R37">
        <v>0</v>
      </c>
      <c r="S37">
        <v>0</v>
      </c>
      <c r="T37">
        <v>0</v>
      </c>
    </row>
    <row r="38" spans="1:20" x14ac:dyDescent="0.3">
      <c r="A38" s="50">
        <v>0</v>
      </c>
      <c r="B38" t="s">
        <v>112</v>
      </c>
      <c r="C38">
        <v>0</v>
      </c>
      <c r="D38">
        <v>0</v>
      </c>
      <c r="E38" t="s">
        <v>62</v>
      </c>
      <c r="F38">
        <v>0</v>
      </c>
      <c r="G38" t="s">
        <v>113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100</v>
      </c>
      <c r="N38">
        <v>0</v>
      </c>
      <c r="O38">
        <v>0</v>
      </c>
      <c r="P38" t="s">
        <v>111</v>
      </c>
      <c r="Q38" t="s">
        <v>114</v>
      </c>
      <c r="R38">
        <v>0</v>
      </c>
      <c r="S38">
        <v>0</v>
      </c>
      <c r="T38">
        <v>0</v>
      </c>
    </row>
    <row r="39" spans="1:20" x14ac:dyDescent="0.3">
      <c r="A39" s="50">
        <v>0</v>
      </c>
      <c r="B39" t="s">
        <v>43</v>
      </c>
      <c r="C39" t="s">
        <v>115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116</v>
      </c>
      <c r="J39">
        <v>0</v>
      </c>
      <c r="K39">
        <v>0</v>
      </c>
      <c r="L39">
        <v>0</v>
      </c>
      <c r="M39" t="s">
        <v>117</v>
      </c>
      <c r="N39">
        <v>0</v>
      </c>
      <c r="O39">
        <v>0</v>
      </c>
      <c r="P39">
        <v>0</v>
      </c>
      <c r="Q39">
        <v>0</v>
      </c>
      <c r="R39" t="s">
        <v>118</v>
      </c>
      <c r="S39">
        <v>0</v>
      </c>
      <c r="T39">
        <v>0</v>
      </c>
    </row>
    <row r="40" spans="1:20" x14ac:dyDescent="0.3">
      <c r="A40" s="50">
        <v>0</v>
      </c>
      <c r="B40">
        <v>0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120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108</v>
      </c>
      <c r="P40">
        <v>0</v>
      </c>
      <c r="Q40">
        <v>0</v>
      </c>
      <c r="R40">
        <v>0</v>
      </c>
      <c r="S40" t="s">
        <v>121</v>
      </c>
      <c r="T40">
        <v>0</v>
      </c>
    </row>
    <row r="41" spans="1:20" x14ac:dyDescent="0.3">
      <c r="A41" s="50">
        <v>0</v>
      </c>
      <c r="B41">
        <v>0</v>
      </c>
      <c r="C41">
        <v>0</v>
      </c>
      <c r="D41">
        <v>0</v>
      </c>
      <c r="E41">
        <v>0</v>
      </c>
      <c r="F41" t="s">
        <v>122</v>
      </c>
      <c r="G41" t="s">
        <v>123</v>
      </c>
      <c r="H41">
        <v>0</v>
      </c>
      <c r="I41" t="s">
        <v>124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125</v>
      </c>
    </row>
    <row r="43" spans="1:20" x14ac:dyDescent="0.3">
      <c r="A43">
        <v>47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621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3">
      <c r="A44">
        <v>0</v>
      </c>
      <c r="B44">
        <v>60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156</v>
      </c>
      <c r="L44">
        <v>418</v>
      </c>
      <c r="M44">
        <v>0</v>
      </c>
      <c r="N44">
        <v>214</v>
      </c>
      <c r="O44">
        <v>27</v>
      </c>
      <c r="P44">
        <v>0</v>
      </c>
      <c r="Q44">
        <v>20</v>
      </c>
      <c r="R44">
        <v>79</v>
      </c>
      <c r="S44">
        <v>0</v>
      </c>
      <c r="T44">
        <v>0</v>
      </c>
    </row>
    <row r="45" spans="1:20" x14ac:dyDescent="0.3">
      <c r="A45">
        <v>233</v>
      </c>
      <c r="B45">
        <v>0</v>
      </c>
      <c r="C45">
        <v>17</v>
      </c>
      <c r="D45">
        <v>379</v>
      </c>
      <c r="E45">
        <v>201</v>
      </c>
      <c r="F45">
        <v>0</v>
      </c>
      <c r="G45">
        <v>0</v>
      </c>
      <c r="H45">
        <v>0</v>
      </c>
      <c r="I45">
        <v>0</v>
      </c>
      <c r="J45">
        <v>333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602</v>
      </c>
      <c r="S45">
        <v>528</v>
      </c>
      <c r="T45">
        <v>0</v>
      </c>
    </row>
    <row r="46" spans="1:20" x14ac:dyDescent="0.3">
      <c r="A46">
        <v>0</v>
      </c>
      <c r="B46">
        <v>0</v>
      </c>
      <c r="C46">
        <v>549</v>
      </c>
      <c r="D46">
        <v>90</v>
      </c>
      <c r="E46">
        <v>0</v>
      </c>
      <c r="F46">
        <v>0</v>
      </c>
      <c r="G46">
        <v>0</v>
      </c>
      <c r="H46">
        <v>190</v>
      </c>
      <c r="I46">
        <v>0</v>
      </c>
      <c r="J46">
        <v>0</v>
      </c>
      <c r="K46">
        <v>0</v>
      </c>
      <c r="L46">
        <v>0</v>
      </c>
      <c r="M46">
        <v>0</v>
      </c>
      <c r="N46">
        <v>247</v>
      </c>
      <c r="O46">
        <v>52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3">
      <c r="A47">
        <v>0</v>
      </c>
      <c r="B47">
        <v>0</v>
      </c>
      <c r="C47">
        <v>167</v>
      </c>
      <c r="D47">
        <v>0</v>
      </c>
      <c r="E47">
        <v>14</v>
      </c>
      <c r="F47">
        <v>0</v>
      </c>
      <c r="G47">
        <v>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29</v>
      </c>
      <c r="O47">
        <v>78</v>
      </c>
      <c r="P47">
        <v>31</v>
      </c>
      <c r="Q47">
        <v>10</v>
      </c>
      <c r="R47">
        <v>0</v>
      </c>
      <c r="S47">
        <v>0</v>
      </c>
      <c r="T47">
        <v>0</v>
      </c>
    </row>
    <row r="48" spans="1:2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91</v>
      </c>
      <c r="G48">
        <v>0</v>
      </c>
      <c r="H48">
        <v>0</v>
      </c>
      <c r="I48">
        <v>0</v>
      </c>
      <c r="J48">
        <v>509</v>
      </c>
      <c r="K48">
        <v>0</v>
      </c>
      <c r="L48">
        <v>0</v>
      </c>
      <c r="M48">
        <v>203</v>
      </c>
      <c r="N48">
        <v>0</v>
      </c>
      <c r="O48">
        <v>130</v>
      </c>
      <c r="P48">
        <v>0</v>
      </c>
      <c r="Q48">
        <v>0</v>
      </c>
      <c r="R48">
        <v>0</v>
      </c>
      <c r="S48">
        <v>0</v>
      </c>
      <c r="T48">
        <v>593</v>
      </c>
    </row>
    <row r="49" spans="1:20" x14ac:dyDescent="0.3">
      <c r="A49">
        <v>0</v>
      </c>
      <c r="B49">
        <v>0</v>
      </c>
      <c r="C49">
        <v>0</v>
      </c>
      <c r="D49">
        <v>0</v>
      </c>
      <c r="E49">
        <v>32</v>
      </c>
      <c r="F49">
        <v>0</v>
      </c>
      <c r="G49">
        <v>53</v>
      </c>
      <c r="H49">
        <v>0</v>
      </c>
      <c r="I49">
        <v>0</v>
      </c>
      <c r="J49">
        <v>368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150</v>
      </c>
      <c r="R49">
        <v>0</v>
      </c>
      <c r="S49">
        <v>0</v>
      </c>
      <c r="T49">
        <v>394</v>
      </c>
    </row>
    <row r="50" spans="1:20" x14ac:dyDescent="0.3">
      <c r="A50">
        <v>363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81</v>
      </c>
      <c r="I50">
        <v>236</v>
      </c>
      <c r="J50">
        <v>0</v>
      </c>
      <c r="K50">
        <v>0</v>
      </c>
      <c r="L50">
        <v>0</v>
      </c>
      <c r="M50">
        <v>0</v>
      </c>
      <c r="N50">
        <v>0</v>
      </c>
      <c r="O50">
        <v>103</v>
      </c>
      <c r="P50">
        <v>537</v>
      </c>
      <c r="Q50">
        <v>0</v>
      </c>
      <c r="R50">
        <v>0</v>
      </c>
      <c r="S50">
        <v>0</v>
      </c>
      <c r="T50">
        <v>0</v>
      </c>
    </row>
    <row r="51" spans="1:2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307</v>
      </c>
      <c r="I51">
        <v>20</v>
      </c>
      <c r="J51">
        <v>0</v>
      </c>
      <c r="K51">
        <v>313</v>
      </c>
      <c r="L51">
        <v>276</v>
      </c>
      <c r="M51">
        <v>0</v>
      </c>
      <c r="N51">
        <v>278</v>
      </c>
      <c r="O51">
        <v>0</v>
      </c>
      <c r="P51">
        <v>0</v>
      </c>
      <c r="Q51">
        <v>0</v>
      </c>
      <c r="R51">
        <v>0</v>
      </c>
      <c r="S51">
        <v>0</v>
      </c>
      <c r="T51">
        <v>338</v>
      </c>
    </row>
    <row r="52" spans="1:20" x14ac:dyDescent="0.3">
      <c r="A52">
        <v>0</v>
      </c>
      <c r="B52">
        <v>0</v>
      </c>
      <c r="C52">
        <v>239</v>
      </c>
      <c r="D52">
        <v>0</v>
      </c>
      <c r="E52">
        <v>0</v>
      </c>
      <c r="F52">
        <v>585</v>
      </c>
      <c r="G52">
        <v>321</v>
      </c>
      <c r="H52">
        <v>0</v>
      </c>
      <c r="I52">
        <v>0</v>
      </c>
      <c r="J52">
        <v>10</v>
      </c>
      <c r="K52">
        <v>0</v>
      </c>
      <c r="L52">
        <v>348</v>
      </c>
      <c r="M52">
        <v>0</v>
      </c>
      <c r="N52">
        <v>0</v>
      </c>
      <c r="O52">
        <v>0</v>
      </c>
      <c r="P52">
        <v>186</v>
      </c>
      <c r="Q52">
        <v>0</v>
      </c>
      <c r="R52">
        <v>0</v>
      </c>
      <c r="S52">
        <v>0</v>
      </c>
      <c r="T52">
        <v>0</v>
      </c>
    </row>
    <row r="53" spans="1:20" x14ac:dyDescent="0.3">
      <c r="A53">
        <v>0</v>
      </c>
      <c r="B53">
        <v>70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474</v>
      </c>
      <c r="J53">
        <v>0</v>
      </c>
      <c r="K53">
        <v>81</v>
      </c>
      <c r="L53">
        <v>467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3">
      <c r="A54">
        <v>0</v>
      </c>
      <c r="B54">
        <v>636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222</v>
      </c>
      <c r="K54">
        <v>544</v>
      </c>
      <c r="L54">
        <v>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3">
      <c r="A55">
        <v>51</v>
      </c>
      <c r="B55">
        <v>0</v>
      </c>
      <c r="C55">
        <v>0</v>
      </c>
      <c r="D55">
        <v>0</v>
      </c>
      <c r="E55">
        <v>0</v>
      </c>
      <c r="F55">
        <v>284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56</v>
      </c>
      <c r="N55">
        <v>0</v>
      </c>
      <c r="O55">
        <v>0</v>
      </c>
      <c r="P55">
        <v>0</v>
      </c>
      <c r="Q55">
        <v>83</v>
      </c>
      <c r="R55">
        <v>420</v>
      </c>
      <c r="S55">
        <v>0</v>
      </c>
      <c r="T55">
        <v>0</v>
      </c>
    </row>
    <row r="56" spans="1:20" x14ac:dyDescent="0.3">
      <c r="A56">
        <v>0</v>
      </c>
      <c r="B56">
        <v>62</v>
      </c>
      <c r="C56">
        <v>0</v>
      </c>
      <c r="D56">
        <v>247</v>
      </c>
      <c r="E56">
        <v>29</v>
      </c>
      <c r="F56">
        <v>0</v>
      </c>
      <c r="G56">
        <v>0</v>
      </c>
      <c r="H56">
        <v>0</v>
      </c>
      <c r="I56">
        <v>426</v>
      </c>
      <c r="J56">
        <v>0</v>
      </c>
      <c r="K56">
        <v>0</v>
      </c>
      <c r="L56">
        <v>0</v>
      </c>
      <c r="M56">
        <v>0</v>
      </c>
      <c r="N56">
        <v>64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3">
      <c r="A57">
        <v>0</v>
      </c>
      <c r="B57">
        <v>27</v>
      </c>
      <c r="C57">
        <v>0</v>
      </c>
      <c r="D57">
        <v>52</v>
      </c>
      <c r="E57">
        <v>42</v>
      </c>
      <c r="F57">
        <v>130</v>
      </c>
      <c r="G57">
        <v>0</v>
      </c>
      <c r="H57">
        <v>137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13</v>
      </c>
      <c r="P57">
        <v>0</v>
      </c>
      <c r="Q57">
        <v>0</v>
      </c>
      <c r="R57">
        <v>0</v>
      </c>
      <c r="S57">
        <v>29</v>
      </c>
      <c r="T57">
        <v>0</v>
      </c>
    </row>
    <row r="58" spans="1:20" x14ac:dyDescent="0.3">
      <c r="A58">
        <v>0</v>
      </c>
      <c r="B58">
        <v>0</v>
      </c>
      <c r="C58">
        <v>0</v>
      </c>
      <c r="D58">
        <v>0</v>
      </c>
      <c r="E58">
        <v>31</v>
      </c>
      <c r="F58">
        <v>0</v>
      </c>
      <c r="G58">
        <v>0</v>
      </c>
      <c r="H58">
        <v>707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76</v>
      </c>
      <c r="Q58">
        <v>80</v>
      </c>
      <c r="R58">
        <v>0</v>
      </c>
      <c r="S58">
        <v>0</v>
      </c>
      <c r="T58">
        <v>0</v>
      </c>
    </row>
    <row r="59" spans="1:20" x14ac:dyDescent="0.3">
      <c r="A59">
        <v>0</v>
      </c>
      <c r="B59">
        <v>34</v>
      </c>
      <c r="C59">
        <v>0</v>
      </c>
      <c r="D59">
        <v>0</v>
      </c>
      <c r="E59">
        <v>10</v>
      </c>
      <c r="F59">
        <v>0</v>
      </c>
      <c r="G59">
        <v>137</v>
      </c>
      <c r="H59">
        <v>0</v>
      </c>
      <c r="I59">
        <v>0</v>
      </c>
      <c r="J59">
        <v>0</v>
      </c>
      <c r="K59">
        <v>0</v>
      </c>
      <c r="L59">
        <v>0</v>
      </c>
      <c r="M59">
        <v>83</v>
      </c>
      <c r="N59">
        <v>0</v>
      </c>
      <c r="O59">
        <v>0</v>
      </c>
      <c r="P59">
        <v>80</v>
      </c>
      <c r="Q59">
        <v>8</v>
      </c>
      <c r="R59">
        <v>0</v>
      </c>
      <c r="S59">
        <v>0</v>
      </c>
      <c r="T59">
        <v>0</v>
      </c>
    </row>
    <row r="60" spans="1:20" x14ac:dyDescent="0.3">
      <c r="A60">
        <v>0</v>
      </c>
      <c r="B60">
        <v>79</v>
      </c>
      <c r="C60">
        <v>427</v>
      </c>
      <c r="D60">
        <v>0</v>
      </c>
      <c r="E60">
        <v>0</v>
      </c>
      <c r="F60">
        <v>0</v>
      </c>
      <c r="G60">
        <v>0</v>
      </c>
      <c r="H60">
        <v>0</v>
      </c>
      <c r="I60">
        <v>67</v>
      </c>
      <c r="J60">
        <v>0</v>
      </c>
      <c r="K60">
        <v>0</v>
      </c>
      <c r="L60">
        <v>0</v>
      </c>
      <c r="M60">
        <v>540</v>
      </c>
      <c r="N60">
        <v>0</v>
      </c>
      <c r="O60">
        <v>0</v>
      </c>
      <c r="P60">
        <v>0</v>
      </c>
      <c r="Q60">
        <v>0</v>
      </c>
      <c r="R60">
        <v>14</v>
      </c>
      <c r="S60">
        <v>0</v>
      </c>
      <c r="T60">
        <v>0</v>
      </c>
    </row>
    <row r="61" spans="1:20" x14ac:dyDescent="0.3">
      <c r="A61">
        <v>0</v>
      </c>
      <c r="B61">
        <v>0</v>
      </c>
      <c r="C61">
        <v>668</v>
      </c>
      <c r="D61">
        <v>0</v>
      </c>
      <c r="E61">
        <v>0</v>
      </c>
      <c r="F61">
        <v>0</v>
      </c>
      <c r="G61">
        <v>0</v>
      </c>
      <c r="H61">
        <v>0</v>
      </c>
      <c r="I61">
        <v>107</v>
      </c>
      <c r="J61">
        <v>0</v>
      </c>
      <c r="K61">
        <v>0</v>
      </c>
      <c r="L61">
        <v>0</v>
      </c>
      <c r="M61">
        <v>0</v>
      </c>
      <c r="N61">
        <v>0</v>
      </c>
      <c r="O61">
        <v>29</v>
      </c>
      <c r="P61">
        <v>0</v>
      </c>
      <c r="Q61">
        <v>0</v>
      </c>
      <c r="R61">
        <v>0</v>
      </c>
      <c r="S61">
        <v>73</v>
      </c>
      <c r="T61">
        <v>0</v>
      </c>
    </row>
    <row r="62" spans="1:2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282</v>
      </c>
      <c r="G62">
        <v>454</v>
      </c>
      <c r="H62">
        <v>0</v>
      </c>
      <c r="I62">
        <v>589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</row>
    <row r="64" spans="1:20" x14ac:dyDescent="0.3">
      <c r="A64">
        <v>4023200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53157600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3">
      <c r="A65">
        <v>0</v>
      </c>
      <c r="B65">
        <v>5136000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13353600</v>
      </c>
      <c r="L65">
        <v>35780800</v>
      </c>
      <c r="M65">
        <v>0</v>
      </c>
      <c r="N65">
        <v>18318400</v>
      </c>
      <c r="O65">
        <v>2311200</v>
      </c>
      <c r="P65">
        <v>0</v>
      </c>
      <c r="Q65">
        <v>1712000</v>
      </c>
      <c r="R65">
        <v>6762400</v>
      </c>
      <c r="S65">
        <v>0</v>
      </c>
      <c r="T65">
        <v>0</v>
      </c>
    </row>
    <row r="66" spans="1:20" x14ac:dyDescent="0.3">
      <c r="A66">
        <v>19944800</v>
      </c>
      <c r="B66">
        <v>0</v>
      </c>
      <c r="C66">
        <v>1455200</v>
      </c>
      <c r="D66">
        <v>32442400</v>
      </c>
      <c r="E66">
        <v>17205600</v>
      </c>
      <c r="F66">
        <v>0</v>
      </c>
      <c r="G66">
        <v>0</v>
      </c>
      <c r="H66">
        <v>0</v>
      </c>
      <c r="I66">
        <v>0</v>
      </c>
      <c r="J66">
        <v>28504800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51531200</v>
      </c>
      <c r="S66">
        <v>45196800</v>
      </c>
      <c r="T66">
        <v>0</v>
      </c>
    </row>
    <row r="67" spans="1:20" x14ac:dyDescent="0.3">
      <c r="A67">
        <v>0</v>
      </c>
      <c r="B67">
        <v>0</v>
      </c>
      <c r="C67">
        <v>46994400</v>
      </c>
      <c r="D67">
        <v>7704000</v>
      </c>
      <c r="E67">
        <v>0</v>
      </c>
      <c r="F67">
        <v>0</v>
      </c>
      <c r="G67">
        <v>0</v>
      </c>
      <c r="H67">
        <v>16264000</v>
      </c>
      <c r="I67">
        <v>0</v>
      </c>
      <c r="J67">
        <v>0</v>
      </c>
      <c r="K67">
        <v>0</v>
      </c>
      <c r="L67">
        <v>0</v>
      </c>
      <c r="M67">
        <v>0</v>
      </c>
      <c r="N67">
        <v>21143200</v>
      </c>
      <c r="O67">
        <v>4451200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3">
      <c r="A68">
        <v>0</v>
      </c>
      <c r="B68">
        <v>0</v>
      </c>
      <c r="C68">
        <v>14295200</v>
      </c>
      <c r="D68">
        <v>0</v>
      </c>
      <c r="E68">
        <v>1198400</v>
      </c>
      <c r="F68">
        <v>0</v>
      </c>
      <c r="G68">
        <v>2739200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2482400</v>
      </c>
      <c r="O68">
        <v>6676800</v>
      </c>
      <c r="P68">
        <v>2653600</v>
      </c>
      <c r="Q68">
        <v>856000</v>
      </c>
      <c r="R68">
        <v>0</v>
      </c>
      <c r="S68">
        <v>0</v>
      </c>
      <c r="T68">
        <v>0</v>
      </c>
    </row>
    <row r="69" spans="1:2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7789600</v>
      </c>
      <c r="G69">
        <v>0</v>
      </c>
      <c r="H69">
        <v>0</v>
      </c>
      <c r="I69">
        <v>0</v>
      </c>
      <c r="J69">
        <v>43570400</v>
      </c>
      <c r="K69">
        <v>0</v>
      </c>
      <c r="L69">
        <v>0</v>
      </c>
      <c r="M69">
        <v>17376800</v>
      </c>
      <c r="N69">
        <v>0</v>
      </c>
      <c r="O69">
        <v>11128000</v>
      </c>
      <c r="P69">
        <v>0</v>
      </c>
      <c r="Q69">
        <v>0</v>
      </c>
      <c r="R69">
        <v>0</v>
      </c>
      <c r="S69">
        <v>0</v>
      </c>
      <c r="T69">
        <v>50760800</v>
      </c>
    </row>
    <row r="70" spans="1:20" x14ac:dyDescent="0.3">
      <c r="A70">
        <v>0</v>
      </c>
      <c r="B70">
        <v>0</v>
      </c>
      <c r="C70">
        <v>0</v>
      </c>
      <c r="D70">
        <v>0</v>
      </c>
      <c r="E70">
        <v>2739200</v>
      </c>
      <c r="F70">
        <v>0</v>
      </c>
      <c r="G70">
        <v>4536800</v>
      </c>
      <c r="H70">
        <v>0</v>
      </c>
      <c r="I70">
        <v>0</v>
      </c>
      <c r="J70">
        <v>31500800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12840000</v>
      </c>
      <c r="R70">
        <v>0</v>
      </c>
      <c r="S70">
        <v>0</v>
      </c>
      <c r="T70">
        <v>33726400</v>
      </c>
    </row>
    <row r="71" spans="1:20" x14ac:dyDescent="0.3">
      <c r="A71">
        <v>31072800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6933600</v>
      </c>
      <c r="I71">
        <v>20201600</v>
      </c>
      <c r="J71">
        <v>0</v>
      </c>
      <c r="K71">
        <v>0</v>
      </c>
      <c r="L71">
        <v>0</v>
      </c>
      <c r="M71">
        <v>0</v>
      </c>
      <c r="N71">
        <v>0</v>
      </c>
      <c r="O71">
        <v>8816800</v>
      </c>
      <c r="P71">
        <v>45967200</v>
      </c>
      <c r="Q71">
        <v>0</v>
      </c>
      <c r="R71">
        <v>0</v>
      </c>
      <c r="S71">
        <v>0</v>
      </c>
      <c r="T71">
        <v>0</v>
      </c>
    </row>
    <row r="72" spans="1:2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26279200</v>
      </c>
      <c r="I72">
        <v>1712000</v>
      </c>
      <c r="J72">
        <v>0</v>
      </c>
      <c r="K72">
        <v>26792800</v>
      </c>
      <c r="L72">
        <v>23625600</v>
      </c>
      <c r="M72">
        <v>0</v>
      </c>
      <c r="N72">
        <v>23796800</v>
      </c>
      <c r="O72">
        <v>0</v>
      </c>
      <c r="P72">
        <v>0</v>
      </c>
      <c r="Q72">
        <v>0</v>
      </c>
      <c r="R72">
        <v>0</v>
      </c>
      <c r="S72">
        <v>0</v>
      </c>
      <c r="T72">
        <v>28932800</v>
      </c>
    </row>
    <row r="73" spans="1:20" x14ac:dyDescent="0.3">
      <c r="A73">
        <v>0</v>
      </c>
      <c r="B73">
        <v>0</v>
      </c>
      <c r="C73">
        <v>20458400</v>
      </c>
      <c r="D73">
        <v>0</v>
      </c>
      <c r="E73">
        <v>0</v>
      </c>
      <c r="F73">
        <v>50076000</v>
      </c>
      <c r="G73">
        <v>27477600</v>
      </c>
      <c r="H73">
        <v>0</v>
      </c>
      <c r="I73">
        <v>0</v>
      </c>
      <c r="J73">
        <v>856000</v>
      </c>
      <c r="K73">
        <v>0</v>
      </c>
      <c r="L73">
        <v>29788800</v>
      </c>
      <c r="M73">
        <v>0</v>
      </c>
      <c r="N73">
        <v>0</v>
      </c>
      <c r="O73">
        <v>0</v>
      </c>
      <c r="P73">
        <v>15921600</v>
      </c>
      <c r="Q73">
        <v>0</v>
      </c>
      <c r="R73">
        <v>0</v>
      </c>
      <c r="S73">
        <v>0</v>
      </c>
      <c r="T73">
        <v>0</v>
      </c>
    </row>
    <row r="74" spans="1:20" x14ac:dyDescent="0.3">
      <c r="A74">
        <v>0</v>
      </c>
      <c r="B74">
        <v>5992000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40574400</v>
      </c>
      <c r="J74">
        <v>0</v>
      </c>
      <c r="K74">
        <v>6933600</v>
      </c>
      <c r="L74">
        <v>39975200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3">
      <c r="A75">
        <v>0</v>
      </c>
      <c r="B75">
        <v>54441600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19003200</v>
      </c>
      <c r="K75">
        <v>46566400</v>
      </c>
      <c r="L75">
        <v>428000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3">
      <c r="A76">
        <v>4365600</v>
      </c>
      <c r="B76">
        <v>0</v>
      </c>
      <c r="C76">
        <v>0</v>
      </c>
      <c r="D76">
        <v>0</v>
      </c>
      <c r="E76">
        <v>0</v>
      </c>
      <c r="F76">
        <v>24310400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4793600</v>
      </c>
      <c r="N76">
        <v>0</v>
      </c>
      <c r="O76">
        <v>0</v>
      </c>
      <c r="P76">
        <v>0</v>
      </c>
      <c r="Q76">
        <v>7104800</v>
      </c>
      <c r="R76">
        <v>35952000</v>
      </c>
      <c r="S76">
        <v>0</v>
      </c>
      <c r="T76">
        <v>0</v>
      </c>
    </row>
    <row r="77" spans="1:20" x14ac:dyDescent="0.3">
      <c r="A77">
        <v>0</v>
      </c>
      <c r="B77">
        <v>5307200</v>
      </c>
      <c r="C77">
        <v>0</v>
      </c>
      <c r="D77">
        <v>21143200</v>
      </c>
      <c r="E77">
        <v>2482400</v>
      </c>
      <c r="F77">
        <v>0</v>
      </c>
      <c r="G77">
        <v>0</v>
      </c>
      <c r="H77">
        <v>0</v>
      </c>
      <c r="I77">
        <v>36465600</v>
      </c>
      <c r="J77">
        <v>0</v>
      </c>
      <c r="K77">
        <v>0</v>
      </c>
      <c r="L77">
        <v>0</v>
      </c>
      <c r="M77">
        <v>0</v>
      </c>
      <c r="N77">
        <v>5478400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3">
      <c r="A78">
        <v>0</v>
      </c>
      <c r="B78">
        <v>2311200</v>
      </c>
      <c r="C78">
        <v>0</v>
      </c>
      <c r="D78">
        <v>4451200</v>
      </c>
      <c r="E78">
        <v>3595200</v>
      </c>
      <c r="F78">
        <v>11128000</v>
      </c>
      <c r="G78">
        <v>0</v>
      </c>
      <c r="H78">
        <v>11727200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1112800</v>
      </c>
      <c r="P78">
        <v>0</v>
      </c>
      <c r="Q78">
        <v>0</v>
      </c>
      <c r="R78">
        <v>0</v>
      </c>
      <c r="S78">
        <v>2482400</v>
      </c>
      <c r="T78">
        <v>0</v>
      </c>
    </row>
    <row r="79" spans="1:20" x14ac:dyDescent="0.3">
      <c r="A79">
        <v>0</v>
      </c>
      <c r="B79">
        <v>0</v>
      </c>
      <c r="C79">
        <v>0</v>
      </c>
      <c r="D79">
        <v>0</v>
      </c>
      <c r="E79">
        <v>2653600</v>
      </c>
      <c r="F79">
        <v>0</v>
      </c>
      <c r="G79">
        <v>0</v>
      </c>
      <c r="H79">
        <v>60519200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6505600</v>
      </c>
      <c r="Q79">
        <v>6848000</v>
      </c>
      <c r="R79">
        <v>0</v>
      </c>
      <c r="S79">
        <v>0</v>
      </c>
      <c r="T79">
        <v>0</v>
      </c>
    </row>
    <row r="80" spans="1:20" x14ac:dyDescent="0.3">
      <c r="A80">
        <v>0</v>
      </c>
      <c r="B80">
        <v>2910400</v>
      </c>
      <c r="C80">
        <v>0</v>
      </c>
      <c r="D80">
        <v>0</v>
      </c>
      <c r="E80">
        <v>856000</v>
      </c>
      <c r="F80">
        <v>0</v>
      </c>
      <c r="G80">
        <v>11727200</v>
      </c>
      <c r="H80">
        <v>0</v>
      </c>
      <c r="I80">
        <v>0</v>
      </c>
      <c r="J80">
        <v>0</v>
      </c>
      <c r="K80">
        <v>0</v>
      </c>
      <c r="L80">
        <v>0</v>
      </c>
      <c r="M80">
        <v>7104800</v>
      </c>
      <c r="N80">
        <v>0</v>
      </c>
      <c r="O80">
        <v>0</v>
      </c>
      <c r="P80">
        <v>6848000</v>
      </c>
      <c r="Q80">
        <v>684800</v>
      </c>
      <c r="R80">
        <v>0</v>
      </c>
      <c r="S80">
        <v>0</v>
      </c>
      <c r="T80">
        <v>0</v>
      </c>
    </row>
    <row r="81" spans="1:20" x14ac:dyDescent="0.3">
      <c r="A81">
        <v>0</v>
      </c>
      <c r="B81">
        <v>6762400</v>
      </c>
      <c r="C81">
        <v>36551200</v>
      </c>
      <c r="D81">
        <v>0</v>
      </c>
      <c r="E81">
        <v>0</v>
      </c>
      <c r="F81">
        <v>0</v>
      </c>
      <c r="G81">
        <v>0</v>
      </c>
      <c r="H81">
        <v>0</v>
      </c>
      <c r="I81">
        <v>5735200</v>
      </c>
      <c r="J81">
        <v>0</v>
      </c>
      <c r="K81">
        <v>0</v>
      </c>
      <c r="L81">
        <v>0</v>
      </c>
      <c r="M81">
        <v>46224000</v>
      </c>
      <c r="N81">
        <v>0</v>
      </c>
      <c r="O81">
        <v>0</v>
      </c>
      <c r="P81">
        <v>0</v>
      </c>
      <c r="Q81">
        <v>0</v>
      </c>
      <c r="R81">
        <v>1198400</v>
      </c>
      <c r="S81">
        <v>0</v>
      </c>
      <c r="T81">
        <v>0</v>
      </c>
    </row>
    <row r="82" spans="1:20" x14ac:dyDescent="0.3">
      <c r="A82">
        <v>0</v>
      </c>
      <c r="B82">
        <v>0</v>
      </c>
      <c r="C82">
        <v>57180800</v>
      </c>
      <c r="D82">
        <v>0</v>
      </c>
      <c r="E82">
        <v>0</v>
      </c>
      <c r="F82">
        <v>0</v>
      </c>
      <c r="G82">
        <v>0</v>
      </c>
      <c r="H82">
        <v>0</v>
      </c>
      <c r="I82">
        <v>9159200</v>
      </c>
      <c r="J82">
        <v>0</v>
      </c>
      <c r="K82">
        <v>0</v>
      </c>
      <c r="L82">
        <v>0</v>
      </c>
      <c r="M82">
        <v>0</v>
      </c>
      <c r="N82">
        <v>0</v>
      </c>
      <c r="O82">
        <v>2482400</v>
      </c>
      <c r="P82">
        <v>0</v>
      </c>
      <c r="Q82">
        <v>0</v>
      </c>
      <c r="R82">
        <v>0</v>
      </c>
      <c r="S82">
        <v>6248800</v>
      </c>
      <c r="T82">
        <v>0</v>
      </c>
    </row>
    <row r="83" spans="1:2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24139200</v>
      </c>
      <c r="G83">
        <v>38862400</v>
      </c>
      <c r="H83">
        <v>0</v>
      </c>
      <c r="I83">
        <v>50418400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684800</v>
      </c>
    </row>
    <row r="85" spans="1:20" x14ac:dyDescent="0.3">
      <c r="T85">
        <f>SUM(A64:T83)</f>
        <v>1859403200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2025-11-28T12:43:43Z</dcterms:modified>
</cp:coreProperties>
</file>