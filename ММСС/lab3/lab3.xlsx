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G:\study\works\ММСС\lab3\"/>
    </mc:Choice>
  </mc:AlternateContent>
  <xr:revisionPtr revIDLastSave="0" documentId="13_ncr:1_{97E1CAEA-6AC3-4902-A032-211428D6CE25}" xr6:coauthVersionLast="47" xr6:coauthVersionMax="47" xr10:uidLastSave="{00000000-0000-0000-0000-000000000000}"/>
  <bookViews>
    <workbookView xWindow="-120" yWindow="-120" windowWidth="29040" windowHeight="15990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4" i="1" l="1"/>
  <c r="P20" i="1"/>
  <c r="R20" i="1" s="1"/>
  <c r="T20" i="1" s="1"/>
  <c r="P21" i="1"/>
  <c r="R21" i="1" s="1"/>
  <c r="T21" i="1" s="1"/>
  <c r="P22" i="1"/>
  <c r="R22" i="1" s="1"/>
  <c r="T22" i="1" s="1"/>
  <c r="P23" i="1"/>
  <c r="P24" i="1"/>
  <c r="P25" i="1"/>
  <c r="P26" i="1"/>
  <c r="P27" i="1"/>
  <c r="R27" i="1" s="1"/>
  <c r="T27" i="1" s="1"/>
  <c r="P28" i="1"/>
  <c r="R28" i="1" s="1"/>
  <c r="T28" i="1" s="1"/>
  <c r="P19" i="1"/>
  <c r="R19" i="1" s="1"/>
  <c r="G20" i="1"/>
  <c r="G21" i="1"/>
  <c r="G22" i="1"/>
  <c r="G23" i="1"/>
  <c r="I23" i="1" s="1"/>
  <c r="K23" i="1" s="1"/>
  <c r="G24" i="1"/>
  <c r="G25" i="1"/>
  <c r="I25" i="1" s="1"/>
  <c r="K25" i="1" s="1"/>
  <c r="G26" i="1"/>
  <c r="I26" i="1" s="1"/>
  <c r="K26" i="1" s="1"/>
  <c r="G27" i="1"/>
  <c r="I27" i="1" s="1"/>
  <c r="K27" i="1" s="1"/>
  <c r="G28" i="1"/>
  <c r="I28" i="1" s="1"/>
  <c r="K28" i="1" s="1"/>
  <c r="G19" i="1"/>
  <c r="I19" i="1" s="1"/>
  <c r="I20" i="1"/>
  <c r="I21" i="1"/>
  <c r="K21" i="1" s="1"/>
  <c r="I22" i="1"/>
  <c r="K22" i="1" s="1"/>
  <c r="I24" i="1"/>
  <c r="K24" i="1" s="1"/>
  <c r="R26" i="1"/>
  <c r="T26" i="1" s="1"/>
  <c r="R25" i="1"/>
  <c r="T25" i="1" s="1"/>
  <c r="R24" i="1"/>
  <c r="T24" i="1" s="1"/>
  <c r="R23" i="1"/>
  <c r="N28" i="1"/>
  <c r="N27" i="1"/>
  <c r="N26" i="1"/>
  <c r="N25" i="1"/>
  <c r="N24" i="1"/>
  <c r="N23" i="1"/>
  <c r="N22" i="1"/>
  <c r="N21" i="1"/>
  <c r="N20" i="1"/>
  <c r="N19" i="1"/>
  <c r="E20" i="1"/>
  <c r="E21" i="1"/>
  <c r="E22" i="1"/>
  <c r="E23" i="1"/>
  <c r="E24" i="1"/>
  <c r="E25" i="1"/>
  <c r="E26" i="1"/>
  <c r="E27" i="1"/>
  <c r="E28" i="1"/>
  <c r="E19" i="1"/>
  <c r="N5" i="1"/>
  <c r="N6" i="1"/>
  <c r="N7" i="1"/>
  <c r="N8" i="1"/>
  <c r="N9" i="1"/>
  <c r="N10" i="1"/>
  <c r="N11" i="1"/>
  <c r="N12" i="1"/>
  <c r="N13" i="1"/>
  <c r="L5" i="1"/>
  <c r="L6" i="1"/>
  <c r="L7" i="1"/>
  <c r="L8" i="1"/>
  <c r="L9" i="1"/>
  <c r="L10" i="1"/>
  <c r="L11" i="1"/>
  <c r="L12" i="1"/>
  <c r="L13" i="1"/>
  <c r="L4" i="1"/>
  <c r="J5" i="1"/>
  <c r="J6" i="1"/>
  <c r="J7" i="1"/>
  <c r="J8" i="1"/>
  <c r="J9" i="1"/>
  <c r="J10" i="1"/>
  <c r="J11" i="1"/>
  <c r="J12" i="1"/>
  <c r="J13" i="1"/>
  <c r="J4" i="1"/>
  <c r="H5" i="1"/>
  <c r="H6" i="1"/>
  <c r="H7" i="1"/>
  <c r="H8" i="1"/>
  <c r="H9" i="1"/>
  <c r="H10" i="1"/>
  <c r="H11" i="1"/>
  <c r="H12" i="1"/>
  <c r="H13" i="1"/>
  <c r="H4" i="1"/>
  <c r="F13" i="1"/>
  <c r="F5" i="1"/>
  <c r="F6" i="1"/>
  <c r="F7" i="1"/>
  <c r="F8" i="1"/>
  <c r="F9" i="1"/>
  <c r="F10" i="1"/>
  <c r="F11" i="1"/>
  <c r="F12" i="1"/>
  <c r="F4" i="1"/>
  <c r="D5" i="1"/>
  <c r="D6" i="1"/>
  <c r="D7" i="1"/>
  <c r="D8" i="1"/>
  <c r="D9" i="1"/>
  <c r="D10" i="1"/>
  <c r="D11" i="1"/>
  <c r="D12" i="1"/>
  <c r="D13" i="1"/>
  <c r="D4" i="1"/>
  <c r="T19" i="1" l="1"/>
  <c r="T23" i="1"/>
  <c r="K20" i="1"/>
  <c r="K19" i="1"/>
</calcChain>
</file>

<file path=xl/sharedStrings.xml><?xml version="1.0" encoding="utf-8"?>
<sst xmlns="http://schemas.openxmlformats.org/spreadsheetml/2006/main" count="42" uniqueCount="20">
  <si>
    <t>N</t>
  </si>
  <si>
    <t>a</t>
  </si>
  <si>
    <t>Максимальная длина очереди (К-1)</t>
  </si>
  <si>
    <t>ИМ</t>
  </si>
  <si>
    <t>АМ</t>
  </si>
  <si>
    <t>для аналитики:</t>
  </si>
  <si>
    <t xml:space="preserve">прибавляем 1, то есть </t>
  </si>
  <si>
    <t>для имитации:</t>
  </si>
  <si>
    <t>К - вместимость очереди</t>
  </si>
  <si>
    <t>K</t>
  </si>
  <si>
    <t>K+1</t>
  </si>
  <si>
    <t>Ca</t>
  </si>
  <si>
    <t>Cb</t>
  </si>
  <si>
    <t>ͳ</t>
  </si>
  <si>
    <t>t</t>
  </si>
  <si>
    <t>им</t>
  </si>
  <si>
    <t>ам</t>
  </si>
  <si>
    <t>ro</t>
  </si>
  <si>
    <t>b</t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</si>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</sst>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</font>
    <font>
      <sz val="11"/>
      <name val="Calibri"/>
      <family val="2"/>
      <scheme val="minor"/>
    </font>
    <font>
      <b/>
      <sz val="1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164" fontId="0" fillId="0" borderId="1" xfId="0" applyNumberFormat="1" applyBorder="1"/>
    <xf numFmtId="0" fontId="0" fillId="0" borderId="4" xfId="0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/>
    <xf numFmtId="0" fontId="0" fillId="0" borderId="0" xfId="0" applyBorder="1" applyAlignment="1">
      <alignment horizontal="center"/>
    </xf>
    <xf numFmtId="0" fontId="0" fillId="2" borderId="2" xfId="0" applyFill="1" applyBorder="1"/>
    <xf numFmtId="0" fontId="0" fillId="2" borderId="1" xfId="0" applyFill="1" applyBorder="1"/>
    <xf numFmtId="0" fontId="2" fillId="2" borderId="2" xfId="0" applyFont="1" applyFill="1" applyBorder="1"/>
    <xf numFmtId="0" fontId="2" fillId="2" borderId="1" xfId="0" applyFont="1" applyFill="1" applyBorder="1"/>
    <xf numFmtId="0" fontId="3" fillId="2" borderId="2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M/M/1/K </a:t>
            </a:r>
            <a:r>
              <a:rPr lang="ru-RU"/>
              <a:t>при</a:t>
            </a:r>
            <a:r>
              <a:rPr lang="ru-RU" baseline="0"/>
              <a:t> К-1 = 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Лист1!$C$3</c:f>
              <c:strCache>
                <c:ptCount val="1"/>
                <c:pt idx="0">
                  <c:v>ИМ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Лист1!$B$4:$B$13</c:f>
              <c:numCache>
                <c:formatCode>General</c:formatCode>
                <c:ptCount val="10"/>
                <c:pt idx="0">
                  <c:v>0.12</c:v>
                </c:pt>
                <c:pt idx="1">
                  <c:v>0.22</c:v>
                </c:pt>
                <c:pt idx="2">
                  <c:v>0.32</c:v>
                </c:pt>
                <c:pt idx="3">
                  <c:v>0.42</c:v>
                </c:pt>
                <c:pt idx="4">
                  <c:v>0.52</c:v>
                </c:pt>
                <c:pt idx="5">
                  <c:v>0.62</c:v>
                </c:pt>
                <c:pt idx="6">
                  <c:v>0.72</c:v>
                </c:pt>
                <c:pt idx="7">
                  <c:v>0.82</c:v>
                </c:pt>
                <c:pt idx="8">
                  <c:v>0.92</c:v>
                </c:pt>
                <c:pt idx="9">
                  <c:v>0.99</c:v>
                </c:pt>
              </c:numCache>
            </c:numRef>
          </c:cat>
          <c:val>
            <c:numRef>
              <c:f>Лист1!$C$4:$C$13</c:f>
              <c:numCache>
                <c:formatCode>General</c:formatCode>
                <c:ptCount val="10"/>
                <c:pt idx="0">
                  <c:v>0.11700000000000001</c:v>
                </c:pt>
                <c:pt idx="1">
                  <c:v>0.187</c:v>
                </c:pt>
                <c:pt idx="2">
                  <c:v>0.246</c:v>
                </c:pt>
                <c:pt idx="3">
                  <c:v>0.30099999999999999</c:v>
                </c:pt>
                <c:pt idx="4">
                  <c:v>0.34799999999999998</c:v>
                </c:pt>
                <c:pt idx="5">
                  <c:v>0.38400000000000001</c:v>
                </c:pt>
                <c:pt idx="6">
                  <c:v>0.42099999999999999</c:v>
                </c:pt>
                <c:pt idx="7">
                  <c:v>0.45200000000000001</c:v>
                </c:pt>
                <c:pt idx="8">
                  <c:v>0.48099999999999998</c:v>
                </c:pt>
                <c:pt idx="9">
                  <c:v>0.497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C3-4AF9-9A49-B83A212CC9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127088"/>
        <c:axId val="199413166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Лист1!$B$4:$B$13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0.12</c:v>
                      </c:pt>
                      <c:pt idx="1">
                        <c:v>0.22</c:v>
                      </c:pt>
                      <c:pt idx="2">
                        <c:v>0.32</c:v>
                      </c:pt>
                      <c:pt idx="3">
                        <c:v>0.42</c:v>
                      </c:pt>
                      <c:pt idx="4">
                        <c:v>0.52</c:v>
                      </c:pt>
                      <c:pt idx="5">
                        <c:v>0.62</c:v>
                      </c:pt>
                      <c:pt idx="6">
                        <c:v>0.72</c:v>
                      </c:pt>
                      <c:pt idx="7">
                        <c:v>0.82</c:v>
                      </c:pt>
                      <c:pt idx="8">
                        <c:v>0.92</c:v>
                      </c:pt>
                      <c:pt idx="9">
                        <c:v>0.99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Лист1!$A$5:$N$5</c15:sqref>
                        </c15:formulaRef>
                      </c:ext>
                    </c:extLst>
                    <c:numCache>
                      <c:formatCode>General</c:formatCode>
                      <c:ptCount val="14"/>
                      <c:pt idx="0">
                        <c:v>2</c:v>
                      </c:pt>
                      <c:pt idx="1">
                        <c:v>0.22</c:v>
                      </c:pt>
                      <c:pt idx="2">
                        <c:v>0.187</c:v>
                      </c:pt>
                      <c:pt idx="3">
                        <c:v>0.18032786885245902</c:v>
                      </c:pt>
                      <c:pt idx="4">
                        <c:v>4.1000000000000002E-2</c:v>
                      </c:pt>
                      <c:pt idx="5">
                        <c:v>3.8158309681488492E-2</c:v>
                      </c:pt>
                      <c:pt idx="6">
                        <c:v>0</c:v>
                      </c:pt>
                      <c:pt idx="7">
                        <c:v>8.8438531093476362E-5</c:v>
                      </c:pt>
                      <c:pt idx="8">
                        <c:v>0</c:v>
                      </c:pt>
                      <c:pt idx="9">
                        <c:v>4.5576828095973832E-8</c:v>
                      </c:pt>
                      <c:pt idx="10">
                        <c:v>0</c:v>
                      </c:pt>
                      <c:pt idx="11">
                        <c:v>1.2105170197458735E-14</c:v>
                      </c:pt>
                      <c:pt idx="12">
                        <c:v>0</c:v>
                      </c:pt>
                      <c:pt idx="13">
                        <c:v>2.268043211515656E-34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B9C3-4AF9-9A49-B83A212CC9E1}"/>
                  </c:ext>
                </c:extLst>
              </c15:ser>
            </c15:filteredLineSeries>
            <c15:filteredLineSeries>
              <c15:ser>
                <c:idx val="2"/>
                <c:order val="2"/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Лист1!$B$4:$B$13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0.12</c:v>
                      </c:pt>
                      <c:pt idx="1">
                        <c:v>0.22</c:v>
                      </c:pt>
                      <c:pt idx="2">
                        <c:v>0.32</c:v>
                      </c:pt>
                      <c:pt idx="3">
                        <c:v>0.42</c:v>
                      </c:pt>
                      <c:pt idx="4">
                        <c:v>0.52</c:v>
                      </c:pt>
                      <c:pt idx="5">
                        <c:v>0.62</c:v>
                      </c:pt>
                      <c:pt idx="6">
                        <c:v>0.72</c:v>
                      </c:pt>
                      <c:pt idx="7">
                        <c:v>0.82</c:v>
                      </c:pt>
                      <c:pt idx="8">
                        <c:v>0.92</c:v>
                      </c:pt>
                      <c:pt idx="9">
                        <c:v>0.99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Лист1!$A$6:$N$6</c15:sqref>
                        </c15:formulaRef>
                      </c:ext>
                    </c:extLst>
                    <c:numCache>
                      <c:formatCode>General</c:formatCode>
                      <c:ptCount val="14"/>
                      <c:pt idx="0">
                        <c:v>3</c:v>
                      </c:pt>
                      <c:pt idx="1">
                        <c:v>0.32</c:v>
                      </c:pt>
                      <c:pt idx="2">
                        <c:v>0.246</c:v>
                      </c:pt>
                      <c:pt idx="3">
                        <c:v>0.24242424242424243</c:v>
                      </c:pt>
                      <c:pt idx="4">
                        <c:v>7.4999999999999997E-2</c:v>
                      </c:pt>
                      <c:pt idx="5">
                        <c:v>7.19910011248594E-2</c:v>
                      </c:pt>
                      <c:pt idx="6">
                        <c:v>1E-3</c:v>
                      </c:pt>
                      <c:pt idx="7">
                        <c:v>7.303954022692715E-4</c:v>
                      </c:pt>
                      <c:pt idx="8">
                        <c:v>0</c:v>
                      </c:pt>
                      <c:pt idx="9">
                        <c:v>2.4499610219022978E-6</c:v>
                      </c:pt>
                      <c:pt idx="10">
                        <c:v>0</c:v>
                      </c:pt>
                      <c:pt idx="11">
                        <c:v>2.7584077061324338E-11</c:v>
                      </c:pt>
                      <c:pt idx="12">
                        <c:v>0</c:v>
                      </c:pt>
                      <c:pt idx="13">
                        <c:v>3.936931034068753E-26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9C3-4AF9-9A49-B83A212CC9E1}"/>
                  </c:ext>
                </c:extLst>
              </c15:ser>
            </c15:filteredLineSeries>
            <c15:filteredLineSeries>
              <c15:ser>
                <c:idx val="3"/>
                <c:order val="3"/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Лист1!$B$4:$B$13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0.12</c:v>
                      </c:pt>
                      <c:pt idx="1">
                        <c:v>0.22</c:v>
                      </c:pt>
                      <c:pt idx="2">
                        <c:v>0.32</c:v>
                      </c:pt>
                      <c:pt idx="3">
                        <c:v>0.42</c:v>
                      </c:pt>
                      <c:pt idx="4">
                        <c:v>0.52</c:v>
                      </c:pt>
                      <c:pt idx="5">
                        <c:v>0.62</c:v>
                      </c:pt>
                      <c:pt idx="6">
                        <c:v>0.72</c:v>
                      </c:pt>
                      <c:pt idx="7">
                        <c:v>0.82</c:v>
                      </c:pt>
                      <c:pt idx="8">
                        <c:v>0.92</c:v>
                      </c:pt>
                      <c:pt idx="9">
                        <c:v>0.99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Лист1!$A$7:$N$7</c15:sqref>
                        </c15:formulaRef>
                      </c:ext>
                    </c:extLst>
                    <c:numCache>
                      <c:formatCode>General</c:formatCode>
                      <c:ptCount val="14"/>
                      <c:pt idx="0">
                        <c:v>4</c:v>
                      </c:pt>
                      <c:pt idx="1">
                        <c:v>0.42</c:v>
                      </c:pt>
                      <c:pt idx="2">
                        <c:v>0.30099999999999999</c:v>
                      </c:pt>
                      <c:pt idx="3">
                        <c:v>0.29577464788732394</c:v>
                      </c:pt>
                      <c:pt idx="4">
                        <c:v>0.115</c:v>
                      </c:pt>
                      <c:pt idx="5">
                        <c:v>0.11049862189927336</c:v>
                      </c:pt>
                      <c:pt idx="6">
                        <c:v>3.0000000000000001E-3</c:v>
                      </c:pt>
                      <c:pt idx="7">
                        <c:v>3.190994909909282E-3</c:v>
                      </c:pt>
                      <c:pt idx="8">
                        <c:v>0</c:v>
                      </c:pt>
                      <c:pt idx="9">
                        <c:v>4.1608616269941442E-5</c:v>
                      </c:pt>
                      <c:pt idx="10">
                        <c:v>0</c:v>
                      </c:pt>
                      <c:pt idx="11">
                        <c:v>7.1066200060255641E-9</c:v>
                      </c:pt>
                      <c:pt idx="12">
                        <c:v>0</c:v>
                      </c:pt>
                      <c:pt idx="13">
                        <c:v>3.5411294555495251E-20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9C3-4AF9-9A49-B83A212CC9E1}"/>
                  </c:ext>
                </c:extLst>
              </c15:ser>
            </c15:filteredLineSeries>
            <c15:filteredLineSeries>
              <c15:ser>
                <c:idx val="4"/>
                <c:order val="4"/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Лист1!$B$4:$B$13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0.12</c:v>
                      </c:pt>
                      <c:pt idx="1">
                        <c:v>0.22</c:v>
                      </c:pt>
                      <c:pt idx="2">
                        <c:v>0.32</c:v>
                      </c:pt>
                      <c:pt idx="3">
                        <c:v>0.42</c:v>
                      </c:pt>
                      <c:pt idx="4">
                        <c:v>0.52</c:v>
                      </c:pt>
                      <c:pt idx="5">
                        <c:v>0.62</c:v>
                      </c:pt>
                      <c:pt idx="6">
                        <c:v>0.72</c:v>
                      </c:pt>
                      <c:pt idx="7">
                        <c:v>0.82</c:v>
                      </c:pt>
                      <c:pt idx="8">
                        <c:v>0.92</c:v>
                      </c:pt>
                      <c:pt idx="9">
                        <c:v>0.99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Лист1!$A$8:$N$8</c15:sqref>
                        </c15:formulaRef>
                      </c:ext>
                    </c:extLst>
                    <c:numCache>
                      <c:formatCode>General</c:formatCode>
                      <c:ptCount val="14"/>
                      <c:pt idx="0">
                        <c:v>5</c:v>
                      </c:pt>
                      <c:pt idx="1">
                        <c:v>0.52</c:v>
                      </c:pt>
                      <c:pt idx="2">
                        <c:v>0.34799999999999998</c:v>
                      </c:pt>
                      <c:pt idx="3">
                        <c:v>0.34210526315789469</c:v>
                      </c:pt>
                      <c:pt idx="4">
                        <c:v>0.154</c:v>
                      </c:pt>
                      <c:pt idx="5">
                        <c:v>0.15102770330652371</c:v>
                      </c:pt>
                      <c:pt idx="6">
                        <c:v>8.9999999999999993E-3</c:v>
                      </c:pt>
                      <c:pt idx="7">
                        <c:v>9.5884689749572132E-3</c:v>
                      </c:pt>
                      <c:pt idx="8">
                        <c:v>0</c:v>
                      </c:pt>
                      <c:pt idx="9">
                        <c:v>3.6095063175127468E-4</c:v>
                      </c:pt>
                      <c:pt idx="10">
                        <c:v>0</c:v>
                      </c:pt>
                      <c:pt idx="11">
                        <c:v>5.2156891395581686E-7</c:v>
                      </c:pt>
                      <c:pt idx="12">
                        <c:v>0</c:v>
                      </c:pt>
                      <c:pt idx="13">
                        <c:v>1.5754758948381493E-15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9C3-4AF9-9A49-B83A212CC9E1}"/>
                  </c:ext>
                </c:extLst>
              </c15:ser>
            </c15:filteredLineSeries>
            <c15:filteredLineSeries>
              <c15:ser>
                <c:idx val="5"/>
                <c:order val="5"/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Лист1!$B$4:$B$13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0.12</c:v>
                      </c:pt>
                      <c:pt idx="1">
                        <c:v>0.22</c:v>
                      </c:pt>
                      <c:pt idx="2">
                        <c:v>0.32</c:v>
                      </c:pt>
                      <c:pt idx="3">
                        <c:v>0.42</c:v>
                      </c:pt>
                      <c:pt idx="4">
                        <c:v>0.52</c:v>
                      </c:pt>
                      <c:pt idx="5">
                        <c:v>0.62</c:v>
                      </c:pt>
                      <c:pt idx="6">
                        <c:v>0.72</c:v>
                      </c:pt>
                      <c:pt idx="7">
                        <c:v>0.82</c:v>
                      </c:pt>
                      <c:pt idx="8">
                        <c:v>0.92</c:v>
                      </c:pt>
                      <c:pt idx="9">
                        <c:v>0.99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Лист1!$A$9:$N$9</c15:sqref>
                        </c15:formulaRef>
                      </c:ext>
                    </c:extLst>
                    <c:numCache>
                      <c:formatCode>General</c:formatCode>
                      <c:ptCount val="14"/>
                      <c:pt idx="0">
                        <c:v>6</c:v>
                      </c:pt>
                      <c:pt idx="1">
                        <c:v>0.62</c:v>
                      </c:pt>
                      <c:pt idx="2">
                        <c:v>0.38400000000000001</c:v>
                      </c:pt>
                      <c:pt idx="3">
                        <c:v>0.38271604938271608</c:v>
                      </c:pt>
                      <c:pt idx="4">
                        <c:v>0.19400000000000001</c:v>
                      </c:pt>
                      <c:pt idx="5">
                        <c:v>0.19177808820594691</c:v>
                      </c:pt>
                      <c:pt idx="6">
                        <c:v>2.3E-2</c:v>
                      </c:pt>
                      <c:pt idx="7">
                        <c:v>2.2371943139202714E-2</c:v>
                      </c:pt>
                      <c:pt idx="8">
                        <c:v>2E-3</c:v>
                      </c:pt>
                      <c:pt idx="9">
                        <c:v>1.9837895402430891E-3</c:v>
                      </c:pt>
                      <c:pt idx="10">
                        <c:v>0</c:v>
                      </c:pt>
                      <c:pt idx="11">
                        <c:v>1.6596665310995981E-5</c:v>
                      </c:pt>
                      <c:pt idx="12">
                        <c:v>0</c:v>
                      </c:pt>
                      <c:pt idx="13">
                        <c:v>9.8120501904081563E-12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9C3-4AF9-9A49-B83A212CC9E1}"/>
                  </c:ext>
                </c:extLst>
              </c15:ser>
            </c15:filteredLineSeries>
            <c15:filteredLineSeries>
              <c15:ser>
                <c:idx val="6"/>
                <c:order val="6"/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Лист1!$B$4:$B$13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0.12</c:v>
                      </c:pt>
                      <c:pt idx="1">
                        <c:v>0.22</c:v>
                      </c:pt>
                      <c:pt idx="2">
                        <c:v>0.32</c:v>
                      </c:pt>
                      <c:pt idx="3">
                        <c:v>0.42</c:v>
                      </c:pt>
                      <c:pt idx="4">
                        <c:v>0.52</c:v>
                      </c:pt>
                      <c:pt idx="5">
                        <c:v>0.62</c:v>
                      </c:pt>
                      <c:pt idx="6">
                        <c:v>0.72</c:v>
                      </c:pt>
                      <c:pt idx="7">
                        <c:v>0.82</c:v>
                      </c:pt>
                      <c:pt idx="8">
                        <c:v>0.92</c:v>
                      </c:pt>
                      <c:pt idx="9">
                        <c:v>0.99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Лист1!$A$10:$N$10</c15:sqref>
                        </c15:formulaRef>
                      </c:ext>
                    </c:extLst>
                    <c:numCache>
                      <c:formatCode>General</c:formatCode>
                      <c:ptCount val="14"/>
                      <c:pt idx="0">
                        <c:v>7</c:v>
                      </c:pt>
                      <c:pt idx="1">
                        <c:v>0.72</c:v>
                      </c:pt>
                      <c:pt idx="2">
                        <c:v>0.42099999999999999</c:v>
                      </c:pt>
                      <c:pt idx="3">
                        <c:v>0.41860465116279066</c:v>
                      </c:pt>
                      <c:pt idx="4">
                        <c:v>0.23400000000000001</c:v>
                      </c:pt>
                      <c:pt idx="5">
                        <c:v>0.23159399571122233</c:v>
                      </c:pt>
                      <c:pt idx="6">
                        <c:v>4.7E-2</c:v>
                      </c:pt>
                      <c:pt idx="7">
                        <c:v>4.3356902568402675E-2</c:v>
                      </c:pt>
                      <c:pt idx="8">
                        <c:v>8.0000000000000002E-3</c:v>
                      </c:pt>
                      <c:pt idx="9">
                        <c:v>7.6971035258793794E-3</c:v>
                      </c:pt>
                      <c:pt idx="10">
                        <c:v>0</c:v>
                      </c:pt>
                      <c:pt idx="11">
                        <c:v>2.8278485321735957E-4</c:v>
                      </c:pt>
                      <c:pt idx="12">
                        <c:v>0</c:v>
                      </c:pt>
                      <c:pt idx="13">
                        <c:v>1.4829119532583837E-8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B9C3-4AF9-9A49-B83A212CC9E1}"/>
                  </c:ext>
                </c:extLst>
              </c15:ser>
            </c15:filteredLineSeries>
            <c15:filteredLineSeries>
              <c15:ser>
                <c:idx val="7"/>
                <c:order val="7"/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Лист1!$B$4:$B$13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0.12</c:v>
                      </c:pt>
                      <c:pt idx="1">
                        <c:v>0.22</c:v>
                      </c:pt>
                      <c:pt idx="2">
                        <c:v>0.32</c:v>
                      </c:pt>
                      <c:pt idx="3">
                        <c:v>0.42</c:v>
                      </c:pt>
                      <c:pt idx="4">
                        <c:v>0.52</c:v>
                      </c:pt>
                      <c:pt idx="5">
                        <c:v>0.62</c:v>
                      </c:pt>
                      <c:pt idx="6">
                        <c:v>0.72</c:v>
                      </c:pt>
                      <c:pt idx="7">
                        <c:v>0.82</c:v>
                      </c:pt>
                      <c:pt idx="8">
                        <c:v>0.92</c:v>
                      </c:pt>
                      <c:pt idx="9">
                        <c:v>0.99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Лист1!$A$11:$N$11</c15:sqref>
                        </c15:formulaRef>
                      </c:ext>
                    </c:extLst>
                    <c:numCache>
                      <c:formatCode>General</c:formatCode>
                      <c:ptCount val="14"/>
                      <c:pt idx="0">
                        <c:v>8</c:v>
                      </c:pt>
                      <c:pt idx="1">
                        <c:v>0.82</c:v>
                      </c:pt>
                      <c:pt idx="2">
                        <c:v>0.45200000000000001</c:v>
                      </c:pt>
                      <c:pt idx="3">
                        <c:v>0.4505494505494505</c:v>
                      </c:pt>
                      <c:pt idx="4">
                        <c:v>0.27</c:v>
                      </c:pt>
                      <c:pt idx="5">
                        <c:v>0.26978013160006414</c:v>
                      </c:pt>
                      <c:pt idx="6">
                        <c:v>7.4999999999999997E-2</c:v>
                      </c:pt>
                      <c:pt idx="7">
                        <c:v>7.2892156353626725E-2</c:v>
                      </c:pt>
                      <c:pt idx="8">
                        <c:v>2.4E-2</c:v>
                      </c:pt>
                      <c:pt idx="9">
                        <c:v>2.235321479429898E-2</c:v>
                      </c:pt>
                      <c:pt idx="10">
                        <c:v>4.0000000000000001E-3</c:v>
                      </c:pt>
                      <c:pt idx="11">
                        <c:v>2.8243308374977785E-3</c:v>
                      </c:pt>
                      <c:pt idx="12">
                        <c:v>0</c:v>
                      </c:pt>
                      <c:pt idx="13">
                        <c:v>7.2409125465197038E-6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B9C3-4AF9-9A49-B83A212CC9E1}"/>
                  </c:ext>
                </c:extLst>
              </c15:ser>
            </c15:filteredLineSeries>
            <c15:filteredLineSeries>
              <c15:ser>
                <c:idx val="8"/>
                <c:order val="8"/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Лист1!$B$4:$B$13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0.12</c:v>
                      </c:pt>
                      <c:pt idx="1">
                        <c:v>0.22</c:v>
                      </c:pt>
                      <c:pt idx="2">
                        <c:v>0.32</c:v>
                      </c:pt>
                      <c:pt idx="3">
                        <c:v>0.42</c:v>
                      </c:pt>
                      <c:pt idx="4">
                        <c:v>0.52</c:v>
                      </c:pt>
                      <c:pt idx="5">
                        <c:v>0.62</c:v>
                      </c:pt>
                      <c:pt idx="6">
                        <c:v>0.72</c:v>
                      </c:pt>
                      <c:pt idx="7">
                        <c:v>0.82</c:v>
                      </c:pt>
                      <c:pt idx="8">
                        <c:v>0.92</c:v>
                      </c:pt>
                      <c:pt idx="9">
                        <c:v>0.99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Лист1!$A$12:$N$12</c15:sqref>
                        </c15:formulaRef>
                      </c:ext>
                    </c:extLst>
                    <c:numCache>
                      <c:formatCode>General</c:formatCode>
                      <c:ptCount val="14"/>
                      <c:pt idx="0">
                        <c:v>9</c:v>
                      </c:pt>
                      <c:pt idx="1">
                        <c:v>0.92</c:v>
                      </c:pt>
                      <c:pt idx="2">
                        <c:v>0.48099999999999998</c:v>
                      </c:pt>
                      <c:pt idx="3">
                        <c:v>0.47916666666666663</c:v>
                      </c:pt>
                      <c:pt idx="4">
                        <c:v>0.30599999999999999</c:v>
                      </c:pt>
                      <c:pt idx="5">
                        <c:v>0.3059572006940427</c:v>
                      </c:pt>
                      <c:pt idx="6">
                        <c:v>0.113</c:v>
                      </c:pt>
                      <c:pt idx="7">
                        <c:v>0.1097094362345139</c:v>
                      </c:pt>
                      <c:pt idx="8">
                        <c:v>5.1999999999999998E-2</c:v>
                      </c:pt>
                      <c:pt idx="9">
                        <c:v>5.0560320702056988E-2</c:v>
                      </c:pt>
                      <c:pt idx="10">
                        <c:v>1.7000000000000001E-2</c:v>
                      </c:pt>
                      <c:pt idx="11">
                        <c:v>1.6527424561835587E-2</c:v>
                      </c:pt>
                      <c:pt idx="12">
                        <c:v>2E-3</c:v>
                      </c:pt>
                      <c:pt idx="13">
                        <c:v>1.1534319978227564E-3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B9C3-4AF9-9A49-B83A212CC9E1}"/>
                  </c:ext>
                </c:extLst>
              </c15:ser>
            </c15:filteredLineSeries>
            <c15:filteredLineSeries>
              <c15:ser>
                <c:idx val="9"/>
                <c:order val="9"/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Лист1!$B$4:$B$13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0.12</c:v>
                      </c:pt>
                      <c:pt idx="1">
                        <c:v>0.22</c:v>
                      </c:pt>
                      <c:pt idx="2">
                        <c:v>0.32</c:v>
                      </c:pt>
                      <c:pt idx="3">
                        <c:v>0.42</c:v>
                      </c:pt>
                      <c:pt idx="4">
                        <c:v>0.52</c:v>
                      </c:pt>
                      <c:pt idx="5">
                        <c:v>0.62</c:v>
                      </c:pt>
                      <c:pt idx="6">
                        <c:v>0.72</c:v>
                      </c:pt>
                      <c:pt idx="7">
                        <c:v>0.82</c:v>
                      </c:pt>
                      <c:pt idx="8">
                        <c:v>0.92</c:v>
                      </c:pt>
                      <c:pt idx="9">
                        <c:v>0.99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Лист1!$A$13:$N$13</c15:sqref>
                        </c15:formulaRef>
                      </c:ext>
                    </c:extLst>
                    <c:numCache>
                      <c:formatCode>General</c:formatCode>
                      <c:ptCount val="14"/>
                      <c:pt idx="0">
                        <c:v>10</c:v>
                      </c:pt>
                      <c:pt idx="1">
                        <c:v>0.99</c:v>
                      </c:pt>
                      <c:pt idx="2">
                        <c:v>0.497</c:v>
                      </c:pt>
                      <c:pt idx="3">
                        <c:v>0.49748743718592942</c:v>
                      </c:pt>
                      <c:pt idx="4">
                        <c:v>0.32700000000000001</c:v>
                      </c:pt>
                      <c:pt idx="5">
                        <c:v>0.32998888926298703</c:v>
                      </c:pt>
                      <c:pt idx="6">
                        <c:v>0.13800000000000001</c:v>
                      </c:pt>
                      <c:pt idx="7">
                        <c:v>0.13858614424226531</c:v>
                      </c:pt>
                      <c:pt idx="8">
                        <c:v>7.2999999999999995E-2</c:v>
                      </c:pt>
                      <c:pt idx="9">
                        <c:v>7.8804492657147465E-2</c:v>
                      </c:pt>
                      <c:pt idx="10">
                        <c:v>3.9E-2</c:v>
                      </c:pt>
                      <c:pt idx="11">
                        <c:v>4.0819190133180347E-2</c:v>
                      </c:pt>
                      <c:pt idx="12">
                        <c:v>1.7000000000000001E-2</c:v>
                      </c:pt>
                      <c:pt idx="13">
                        <c:v>1.471515065947053E-2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B9C3-4AF9-9A49-B83A212CC9E1}"/>
                  </c:ext>
                </c:extLst>
              </c15:ser>
            </c15:filteredLineSeries>
          </c:ext>
        </c:extLst>
      </c:lineChart>
      <c:catAx>
        <c:axId val="199412708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994131664"/>
        <c:crosses val="autoZero"/>
        <c:auto val="1"/>
        <c:lblAlgn val="ctr"/>
        <c:lblOffset val="100"/>
        <c:noMultiLvlLbl val="0"/>
      </c:catAx>
      <c:valAx>
        <c:axId val="1994131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9941270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M/M/1/K</a:t>
            </a:r>
            <a:r>
              <a:rPr lang="ru-RU"/>
              <a:t> при К-1 = 1</a:t>
            </a:r>
            <a:r>
              <a:rPr lang="en-US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0.11326013825736572"/>
          <c:y val="0.20056510327513405"/>
          <c:w val="0.85991222928119904"/>
          <c:h val="0.72121739130434781"/>
        </c:manualLayout>
      </c:layout>
      <c:lineChart>
        <c:grouping val="standard"/>
        <c:varyColors val="0"/>
        <c:ser>
          <c:idx val="0"/>
          <c:order val="0"/>
          <c:tx>
            <c:strRef>
              <c:f>Лист1!$C$3</c:f>
              <c:strCache>
                <c:ptCount val="1"/>
                <c:pt idx="0">
                  <c:v>ИМ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Лист1!$B$4:$B$13</c:f>
              <c:numCache>
                <c:formatCode>General</c:formatCode>
                <c:ptCount val="10"/>
                <c:pt idx="0">
                  <c:v>0.12</c:v>
                </c:pt>
                <c:pt idx="1">
                  <c:v>0.22</c:v>
                </c:pt>
                <c:pt idx="2">
                  <c:v>0.32</c:v>
                </c:pt>
                <c:pt idx="3">
                  <c:v>0.42</c:v>
                </c:pt>
                <c:pt idx="4">
                  <c:v>0.52</c:v>
                </c:pt>
                <c:pt idx="5">
                  <c:v>0.62</c:v>
                </c:pt>
                <c:pt idx="6">
                  <c:v>0.72</c:v>
                </c:pt>
                <c:pt idx="7">
                  <c:v>0.82</c:v>
                </c:pt>
                <c:pt idx="8">
                  <c:v>0.92</c:v>
                </c:pt>
                <c:pt idx="9">
                  <c:v>0.99</c:v>
                </c:pt>
              </c:numCache>
            </c:numRef>
          </c:cat>
          <c:val>
            <c:numRef>
              <c:f>Лист1!$E$4:$E$13</c:f>
              <c:numCache>
                <c:formatCode>General</c:formatCode>
                <c:ptCount val="10"/>
                <c:pt idx="0">
                  <c:v>1.4E-2</c:v>
                </c:pt>
                <c:pt idx="1">
                  <c:v>4.1000000000000002E-2</c:v>
                </c:pt>
                <c:pt idx="2">
                  <c:v>7.4999999999999997E-2</c:v>
                </c:pt>
                <c:pt idx="3">
                  <c:v>0.115</c:v>
                </c:pt>
                <c:pt idx="4">
                  <c:v>0.154</c:v>
                </c:pt>
                <c:pt idx="5">
                  <c:v>0.19400000000000001</c:v>
                </c:pt>
                <c:pt idx="6">
                  <c:v>0.23400000000000001</c:v>
                </c:pt>
                <c:pt idx="7">
                  <c:v>0.27</c:v>
                </c:pt>
                <c:pt idx="8">
                  <c:v>0.30599999999999999</c:v>
                </c:pt>
                <c:pt idx="9">
                  <c:v>0.32700000000000001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27-490B-8323-50A04395D5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127088"/>
        <c:axId val="199413166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Лист1!$B$4:$B$13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0.12</c:v>
                      </c:pt>
                      <c:pt idx="1">
                        <c:v>0.22</c:v>
                      </c:pt>
                      <c:pt idx="2">
                        <c:v>0.32</c:v>
                      </c:pt>
                      <c:pt idx="3">
                        <c:v>0.42</c:v>
                      </c:pt>
                      <c:pt idx="4">
                        <c:v>0.52</c:v>
                      </c:pt>
                      <c:pt idx="5">
                        <c:v>0.62</c:v>
                      </c:pt>
                      <c:pt idx="6">
                        <c:v>0.72</c:v>
                      </c:pt>
                      <c:pt idx="7">
                        <c:v>0.82</c:v>
                      </c:pt>
                      <c:pt idx="8">
                        <c:v>0.92</c:v>
                      </c:pt>
                      <c:pt idx="9">
                        <c:v>0.99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Лист1!$A$5:$N$5</c15:sqref>
                        </c15:formulaRef>
                      </c:ext>
                    </c:extLst>
                    <c:numCache>
                      <c:formatCode>General</c:formatCode>
                      <c:ptCount val="14"/>
                      <c:pt idx="0">
                        <c:v>2</c:v>
                      </c:pt>
                      <c:pt idx="1">
                        <c:v>0.22</c:v>
                      </c:pt>
                      <c:pt idx="2">
                        <c:v>0.187</c:v>
                      </c:pt>
                      <c:pt idx="3">
                        <c:v>0.18032786885245902</c:v>
                      </c:pt>
                      <c:pt idx="4">
                        <c:v>4.1000000000000002E-2</c:v>
                      </c:pt>
                      <c:pt idx="5">
                        <c:v>3.8158309681488492E-2</c:v>
                      </c:pt>
                      <c:pt idx="6">
                        <c:v>0</c:v>
                      </c:pt>
                      <c:pt idx="7">
                        <c:v>8.8438531093476362E-5</c:v>
                      </c:pt>
                      <c:pt idx="8">
                        <c:v>0</c:v>
                      </c:pt>
                      <c:pt idx="9">
                        <c:v>4.5576828095973832E-8</c:v>
                      </c:pt>
                      <c:pt idx="10">
                        <c:v>0</c:v>
                      </c:pt>
                      <c:pt idx="11">
                        <c:v>1.2105170197458735E-14</c:v>
                      </c:pt>
                      <c:pt idx="12">
                        <c:v>0</c:v>
                      </c:pt>
                      <c:pt idx="13">
                        <c:v>2.268043211515656E-34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A527-490B-8323-50A04395D525}"/>
                  </c:ext>
                </c:extLst>
              </c15:ser>
            </c15:filteredLineSeries>
            <c15:filteredLineSeries>
              <c15:ser>
                <c:idx val="2"/>
                <c:order val="2"/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Лист1!$B$4:$B$13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0.12</c:v>
                      </c:pt>
                      <c:pt idx="1">
                        <c:v>0.22</c:v>
                      </c:pt>
                      <c:pt idx="2">
                        <c:v>0.32</c:v>
                      </c:pt>
                      <c:pt idx="3">
                        <c:v>0.42</c:v>
                      </c:pt>
                      <c:pt idx="4">
                        <c:v>0.52</c:v>
                      </c:pt>
                      <c:pt idx="5">
                        <c:v>0.62</c:v>
                      </c:pt>
                      <c:pt idx="6">
                        <c:v>0.72</c:v>
                      </c:pt>
                      <c:pt idx="7">
                        <c:v>0.82</c:v>
                      </c:pt>
                      <c:pt idx="8">
                        <c:v>0.92</c:v>
                      </c:pt>
                      <c:pt idx="9">
                        <c:v>0.99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Лист1!$A$6:$N$6</c15:sqref>
                        </c15:formulaRef>
                      </c:ext>
                    </c:extLst>
                    <c:numCache>
                      <c:formatCode>General</c:formatCode>
                      <c:ptCount val="14"/>
                      <c:pt idx="0">
                        <c:v>3</c:v>
                      </c:pt>
                      <c:pt idx="1">
                        <c:v>0.32</c:v>
                      </c:pt>
                      <c:pt idx="2">
                        <c:v>0.246</c:v>
                      </c:pt>
                      <c:pt idx="3">
                        <c:v>0.24242424242424243</c:v>
                      </c:pt>
                      <c:pt idx="4">
                        <c:v>7.4999999999999997E-2</c:v>
                      </c:pt>
                      <c:pt idx="5">
                        <c:v>7.19910011248594E-2</c:v>
                      </c:pt>
                      <c:pt idx="6">
                        <c:v>1E-3</c:v>
                      </c:pt>
                      <c:pt idx="7">
                        <c:v>7.303954022692715E-4</c:v>
                      </c:pt>
                      <c:pt idx="8">
                        <c:v>0</c:v>
                      </c:pt>
                      <c:pt idx="9">
                        <c:v>2.4499610219022978E-6</c:v>
                      </c:pt>
                      <c:pt idx="10">
                        <c:v>0</c:v>
                      </c:pt>
                      <c:pt idx="11">
                        <c:v>2.7584077061324338E-11</c:v>
                      </c:pt>
                      <c:pt idx="12">
                        <c:v>0</c:v>
                      </c:pt>
                      <c:pt idx="13">
                        <c:v>3.936931034068753E-26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A527-490B-8323-50A04395D525}"/>
                  </c:ext>
                </c:extLst>
              </c15:ser>
            </c15:filteredLineSeries>
            <c15:filteredLineSeries>
              <c15:ser>
                <c:idx val="3"/>
                <c:order val="3"/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Лист1!$B$4:$B$13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0.12</c:v>
                      </c:pt>
                      <c:pt idx="1">
                        <c:v>0.22</c:v>
                      </c:pt>
                      <c:pt idx="2">
                        <c:v>0.32</c:v>
                      </c:pt>
                      <c:pt idx="3">
                        <c:v>0.42</c:v>
                      </c:pt>
                      <c:pt idx="4">
                        <c:v>0.52</c:v>
                      </c:pt>
                      <c:pt idx="5">
                        <c:v>0.62</c:v>
                      </c:pt>
                      <c:pt idx="6">
                        <c:v>0.72</c:v>
                      </c:pt>
                      <c:pt idx="7">
                        <c:v>0.82</c:v>
                      </c:pt>
                      <c:pt idx="8">
                        <c:v>0.92</c:v>
                      </c:pt>
                      <c:pt idx="9">
                        <c:v>0.99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Лист1!$A$7:$N$7</c15:sqref>
                        </c15:formulaRef>
                      </c:ext>
                    </c:extLst>
                    <c:numCache>
                      <c:formatCode>General</c:formatCode>
                      <c:ptCount val="14"/>
                      <c:pt idx="0">
                        <c:v>4</c:v>
                      </c:pt>
                      <c:pt idx="1">
                        <c:v>0.42</c:v>
                      </c:pt>
                      <c:pt idx="2">
                        <c:v>0.30099999999999999</c:v>
                      </c:pt>
                      <c:pt idx="3">
                        <c:v>0.29577464788732394</c:v>
                      </c:pt>
                      <c:pt idx="4">
                        <c:v>0.115</c:v>
                      </c:pt>
                      <c:pt idx="5">
                        <c:v>0.11049862189927336</c:v>
                      </c:pt>
                      <c:pt idx="6">
                        <c:v>3.0000000000000001E-3</c:v>
                      </c:pt>
                      <c:pt idx="7">
                        <c:v>3.190994909909282E-3</c:v>
                      </c:pt>
                      <c:pt idx="8">
                        <c:v>0</c:v>
                      </c:pt>
                      <c:pt idx="9">
                        <c:v>4.1608616269941442E-5</c:v>
                      </c:pt>
                      <c:pt idx="10">
                        <c:v>0</c:v>
                      </c:pt>
                      <c:pt idx="11">
                        <c:v>7.1066200060255641E-9</c:v>
                      </c:pt>
                      <c:pt idx="12">
                        <c:v>0</c:v>
                      </c:pt>
                      <c:pt idx="13">
                        <c:v>3.5411294555495251E-20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A527-490B-8323-50A04395D525}"/>
                  </c:ext>
                </c:extLst>
              </c15:ser>
            </c15:filteredLineSeries>
            <c15:filteredLineSeries>
              <c15:ser>
                <c:idx val="4"/>
                <c:order val="4"/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Лист1!$B$4:$B$13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0.12</c:v>
                      </c:pt>
                      <c:pt idx="1">
                        <c:v>0.22</c:v>
                      </c:pt>
                      <c:pt idx="2">
                        <c:v>0.32</c:v>
                      </c:pt>
                      <c:pt idx="3">
                        <c:v>0.42</c:v>
                      </c:pt>
                      <c:pt idx="4">
                        <c:v>0.52</c:v>
                      </c:pt>
                      <c:pt idx="5">
                        <c:v>0.62</c:v>
                      </c:pt>
                      <c:pt idx="6">
                        <c:v>0.72</c:v>
                      </c:pt>
                      <c:pt idx="7">
                        <c:v>0.82</c:v>
                      </c:pt>
                      <c:pt idx="8">
                        <c:v>0.92</c:v>
                      </c:pt>
                      <c:pt idx="9">
                        <c:v>0.99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Лист1!$A$8:$N$8</c15:sqref>
                        </c15:formulaRef>
                      </c:ext>
                    </c:extLst>
                    <c:numCache>
                      <c:formatCode>General</c:formatCode>
                      <c:ptCount val="14"/>
                      <c:pt idx="0">
                        <c:v>5</c:v>
                      </c:pt>
                      <c:pt idx="1">
                        <c:v>0.52</c:v>
                      </c:pt>
                      <c:pt idx="2">
                        <c:v>0.34799999999999998</c:v>
                      </c:pt>
                      <c:pt idx="3">
                        <c:v>0.34210526315789469</c:v>
                      </c:pt>
                      <c:pt idx="4">
                        <c:v>0.154</c:v>
                      </c:pt>
                      <c:pt idx="5">
                        <c:v>0.15102770330652371</c:v>
                      </c:pt>
                      <c:pt idx="6">
                        <c:v>8.9999999999999993E-3</c:v>
                      </c:pt>
                      <c:pt idx="7">
                        <c:v>9.5884689749572132E-3</c:v>
                      </c:pt>
                      <c:pt idx="8">
                        <c:v>0</c:v>
                      </c:pt>
                      <c:pt idx="9">
                        <c:v>3.6095063175127468E-4</c:v>
                      </c:pt>
                      <c:pt idx="10">
                        <c:v>0</c:v>
                      </c:pt>
                      <c:pt idx="11">
                        <c:v>5.2156891395581686E-7</c:v>
                      </c:pt>
                      <c:pt idx="12">
                        <c:v>0</c:v>
                      </c:pt>
                      <c:pt idx="13">
                        <c:v>1.5754758948381493E-15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A527-490B-8323-50A04395D525}"/>
                  </c:ext>
                </c:extLst>
              </c15:ser>
            </c15:filteredLineSeries>
            <c15:filteredLineSeries>
              <c15:ser>
                <c:idx val="5"/>
                <c:order val="5"/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Лист1!$B$4:$B$13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0.12</c:v>
                      </c:pt>
                      <c:pt idx="1">
                        <c:v>0.22</c:v>
                      </c:pt>
                      <c:pt idx="2">
                        <c:v>0.32</c:v>
                      </c:pt>
                      <c:pt idx="3">
                        <c:v>0.42</c:v>
                      </c:pt>
                      <c:pt idx="4">
                        <c:v>0.52</c:v>
                      </c:pt>
                      <c:pt idx="5">
                        <c:v>0.62</c:v>
                      </c:pt>
                      <c:pt idx="6">
                        <c:v>0.72</c:v>
                      </c:pt>
                      <c:pt idx="7">
                        <c:v>0.82</c:v>
                      </c:pt>
                      <c:pt idx="8">
                        <c:v>0.92</c:v>
                      </c:pt>
                      <c:pt idx="9">
                        <c:v>0.99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Лист1!$A$9:$N$9</c15:sqref>
                        </c15:formulaRef>
                      </c:ext>
                    </c:extLst>
                    <c:numCache>
                      <c:formatCode>General</c:formatCode>
                      <c:ptCount val="14"/>
                      <c:pt idx="0">
                        <c:v>6</c:v>
                      </c:pt>
                      <c:pt idx="1">
                        <c:v>0.62</c:v>
                      </c:pt>
                      <c:pt idx="2">
                        <c:v>0.38400000000000001</c:v>
                      </c:pt>
                      <c:pt idx="3">
                        <c:v>0.38271604938271608</c:v>
                      </c:pt>
                      <c:pt idx="4">
                        <c:v>0.19400000000000001</c:v>
                      </c:pt>
                      <c:pt idx="5">
                        <c:v>0.19177808820594691</c:v>
                      </c:pt>
                      <c:pt idx="6">
                        <c:v>2.3E-2</c:v>
                      </c:pt>
                      <c:pt idx="7">
                        <c:v>2.2371943139202714E-2</c:v>
                      </c:pt>
                      <c:pt idx="8">
                        <c:v>2E-3</c:v>
                      </c:pt>
                      <c:pt idx="9">
                        <c:v>1.9837895402430891E-3</c:v>
                      </c:pt>
                      <c:pt idx="10">
                        <c:v>0</c:v>
                      </c:pt>
                      <c:pt idx="11">
                        <c:v>1.6596665310995981E-5</c:v>
                      </c:pt>
                      <c:pt idx="12">
                        <c:v>0</c:v>
                      </c:pt>
                      <c:pt idx="13">
                        <c:v>9.8120501904081563E-12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A527-490B-8323-50A04395D525}"/>
                  </c:ext>
                </c:extLst>
              </c15:ser>
            </c15:filteredLineSeries>
            <c15:filteredLineSeries>
              <c15:ser>
                <c:idx val="6"/>
                <c:order val="6"/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Лист1!$B$4:$B$13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0.12</c:v>
                      </c:pt>
                      <c:pt idx="1">
                        <c:v>0.22</c:v>
                      </c:pt>
                      <c:pt idx="2">
                        <c:v>0.32</c:v>
                      </c:pt>
                      <c:pt idx="3">
                        <c:v>0.42</c:v>
                      </c:pt>
                      <c:pt idx="4">
                        <c:v>0.52</c:v>
                      </c:pt>
                      <c:pt idx="5">
                        <c:v>0.62</c:v>
                      </c:pt>
                      <c:pt idx="6">
                        <c:v>0.72</c:v>
                      </c:pt>
                      <c:pt idx="7">
                        <c:v>0.82</c:v>
                      </c:pt>
                      <c:pt idx="8">
                        <c:v>0.92</c:v>
                      </c:pt>
                      <c:pt idx="9">
                        <c:v>0.99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Лист1!$A$10:$N$10</c15:sqref>
                        </c15:formulaRef>
                      </c:ext>
                    </c:extLst>
                    <c:numCache>
                      <c:formatCode>General</c:formatCode>
                      <c:ptCount val="14"/>
                      <c:pt idx="0">
                        <c:v>7</c:v>
                      </c:pt>
                      <c:pt idx="1">
                        <c:v>0.72</c:v>
                      </c:pt>
                      <c:pt idx="2">
                        <c:v>0.42099999999999999</c:v>
                      </c:pt>
                      <c:pt idx="3">
                        <c:v>0.41860465116279066</c:v>
                      </c:pt>
                      <c:pt idx="4">
                        <c:v>0.23400000000000001</c:v>
                      </c:pt>
                      <c:pt idx="5">
                        <c:v>0.23159399571122233</c:v>
                      </c:pt>
                      <c:pt idx="6">
                        <c:v>4.7E-2</c:v>
                      </c:pt>
                      <c:pt idx="7">
                        <c:v>4.3356902568402675E-2</c:v>
                      </c:pt>
                      <c:pt idx="8">
                        <c:v>8.0000000000000002E-3</c:v>
                      </c:pt>
                      <c:pt idx="9">
                        <c:v>7.6971035258793794E-3</c:v>
                      </c:pt>
                      <c:pt idx="10">
                        <c:v>0</c:v>
                      </c:pt>
                      <c:pt idx="11">
                        <c:v>2.8278485321735957E-4</c:v>
                      </c:pt>
                      <c:pt idx="12">
                        <c:v>0</c:v>
                      </c:pt>
                      <c:pt idx="13">
                        <c:v>1.4829119532583837E-8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A527-490B-8323-50A04395D525}"/>
                  </c:ext>
                </c:extLst>
              </c15:ser>
            </c15:filteredLineSeries>
            <c15:filteredLineSeries>
              <c15:ser>
                <c:idx val="7"/>
                <c:order val="7"/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Лист1!$B$4:$B$13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0.12</c:v>
                      </c:pt>
                      <c:pt idx="1">
                        <c:v>0.22</c:v>
                      </c:pt>
                      <c:pt idx="2">
                        <c:v>0.32</c:v>
                      </c:pt>
                      <c:pt idx="3">
                        <c:v>0.42</c:v>
                      </c:pt>
                      <c:pt idx="4">
                        <c:v>0.52</c:v>
                      </c:pt>
                      <c:pt idx="5">
                        <c:v>0.62</c:v>
                      </c:pt>
                      <c:pt idx="6">
                        <c:v>0.72</c:v>
                      </c:pt>
                      <c:pt idx="7">
                        <c:v>0.82</c:v>
                      </c:pt>
                      <c:pt idx="8">
                        <c:v>0.92</c:v>
                      </c:pt>
                      <c:pt idx="9">
                        <c:v>0.99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Лист1!$A$11:$N$11</c15:sqref>
                        </c15:formulaRef>
                      </c:ext>
                    </c:extLst>
                    <c:numCache>
                      <c:formatCode>General</c:formatCode>
                      <c:ptCount val="14"/>
                      <c:pt idx="0">
                        <c:v>8</c:v>
                      </c:pt>
                      <c:pt idx="1">
                        <c:v>0.82</c:v>
                      </c:pt>
                      <c:pt idx="2">
                        <c:v>0.45200000000000001</c:v>
                      </c:pt>
                      <c:pt idx="3">
                        <c:v>0.4505494505494505</c:v>
                      </c:pt>
                      <c:pt idx="4">
                        <c:v>0.27</c:v>
                      </c:pt>
                      <c:pt idx="5">
                        <c:v>0.26978013160006414</c:v>
                      </c:pt>
                      <c:pt idx="6">
                        <c:v>7.4999999999999997E-2</c:v>
                      </c:pt>
                      <c:pt idx="7">
                        <c:v>7.2892156353626725E-2</c:v>
                      </c:pt>
                      <c:pt idx="8">
                        <c:v>2.4E-2</c:v>
                      </c:pt>
                      <c:pt idx="9">
                        <c:v>2.235321479429898E-2</c:v>
                      </c:pt>
                      <c:pt idx="10">
                        <c:v>4.0000000000000001E-3</c:v>
                      </c:pt>
                      <c:pt idx="11">
                        <c:v>2.8243308374977785E-3</c:v>
                      </c:pt>
                      <c:pt idx="12">
                        <c:v>0</c:v>
                      </c:pt>
                      <c:pt idx="13">
                        <c:v>7.2409125465197038E-6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A527-490B-8323-50A04395D525}"/>
                  </c:ext>
                </c:extLst>
              </c15:ser>
            </c15:filteredLineSeries>
            <c15:filteredLineSeries>
              <c15:ser>
                <c:idx val="8"/>
                <c:order val="8"/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Лист1!$B$4:$B$13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0.12</c:v>
                      </c:pt>
                      <c:pt idx="1">
                        <c:v>0.22</c:v>
                      </c:pt>
                      <c:pt idx="2">
                        <c:v>0.32</c:v>
                      </c:pt>
                      <c:pt idx="3">
                        <c:v>0.42</c:v>
                      </c:pt>
                      <c:pt idx="4">
                        <c:v>0.52</c:v>
                      </c:pt>
                      <c:pt idx="5">
                        <c:v>0.62</c:v>
                      </c:pt>
                      <c:pt idx="6">
                        <c:v>0.72</c:v>
                      </c:pt>
                      <c:pt idx="7">
                        <c:v>0.82</c:v>
                      </c:pt>
                      <c:pt idx="8">
                        <c:v>0.92</c:v>
                      </c:pt>
                      <c:pt idx="9">
                        <c:v>0.99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Лист1!$A$12:$N$12</c15:sqref>
                        </c15:formulaRef>
                      </c:ext>
                    </c:extLst>
                    <c:numCache>
                      <c:formatCode>General</c:formatCode>
                      <c:ptCount val="14"/>
                      <c:pt idx="0">
                        <c:v>9</c:v>
                      </c:pt>
                      <c:pt idx="1">
                        <c:v>0.92</c:v>
                      </c:pt>
                      <c:pt idx="2">
                        <c:v>0.48099999999999998</c:v>
                      </c:pt>
                      <c:pt idx="3">
                        <c:v>0.47916666666666663</c:v>
                      </c:pt>
                      <c:pt idx="4">
                        <c:v>0.30599999999999999</c:v>
                      </c:pt>
                      <c:pt idx="5">
                        <c:v>0.3059572006940427</c:v>
                      </c:pt>
                      <c:pt idx="6">
                        <c:v>0.113</c:v>
                      </c:pt>
                      <c:pt idx="7">
                        <c:v>0.1097094362345139</c:v>
                      </c:pt>
                      <c:pt idx="8">
                        <c:v>5.1999999999999998E-2</c:v>
                      </c:pt>
                      <c:pt idx="9">
                        <c:v>5.0560320702056988E-2</c:v>
                      </c:pt>
                      <c:pt idx="10">
                        <c:v>1.7000000000000001E-2</c:v>
                      </c:pt>
                      <c:pt idx="11">
                        <c:v>1.6527424561835587E-2</c:v>
                      </c:pt>
                      <c:pt idx="12">
                        <c:v>2E-3</c:v>
                      </c:pt>
                      <c:pt idx="13">
                        <c:v>1.1534319978227564E-3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A527-490B-8323-50A04395D525}"/>
                  </c:ext>
                </c:extLst>
              </c15:ser>
            </c15:filteredLineSeries>
            <c15:filteredLineSeries>
              <c15:ser>
                <c:idx val="9"/>
                <c:order val="9"/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Лист1!$B$4:$B$13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0.12</c:v>
                      </c:pt>
                      <c:pt idx="1">
                        <c:v>0.22</c:v>
                      </c:pt>
                      <c:pt idx="2">
                        <c:v>0.32</c:v>
                      </c:pt>
                      <c:pt idx="3">
                        <c:v>0.42</c:v>
                      </c:pt>
                      <c:pt idx="4">
                        <c:v>0.52</c:v>
                      </c:pt>
                      <c:pt idx="5">
                        <c:v>0.62</c:v>
                      </c:pt>
                      <c:pt idx="6">
                        <c:v>0.72</c:v>
                      </c:pt>
                      <c:pt idx="7">
                        <c:v>0.82</c:v>
                      </c:pt>
                      <c:pt idx="8">
                        <c:v>0.92</c:v>
                      </c:pt>
                      <c:pt idx="9">
                        <c:v>0.99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Лист1!$A$13:$N$13</c15:sqref>
                        </c15:formulaRef>
                      </c:ext>
                    </c:extLst>
                    <c:numCache>
                      <c:formatCode>General</c:formatCode>
                      <c:ptCount val="14"/>
                      <c:pt idx="0">
                        <c:v>10</c:v>
                      </c:pt>
                      <c:pt idx="1">
                        <c:v>0.99</c:v>
                      </c:pt>
                      <c:pt idx="2">
                        <c:v>0.497</c:v>
                      </c:pt>
                      <c:pt idx="3">
                        <c:v>0.49748743718592942</c:v>
                      </c:pt>
                      <c:pt idx="4">
                        <c:v>0.32700000000000001</c:v>
                      </c:pt>
                      <c:pt idx="5">
                        <c:v>0.32998888926298703</c:v>
                      </c:pt>
                      <c:pt idx="6">
                        <c:v>0.13800000000000001</c:v>
                      </c:pt>
                      <c:pt idx="7">
                        <c:v>0.13858614424226531</c:v>
                      </c:pt>
                      <c:pt idx="8">
                        <c:v>7.2999999999999995E-2</c:v>
                      </c:pt>
                      <c:pt idx="9">
                        <c:v>7.8804492657147465E-2</c:v>
                      </c:pt>
                      <c:pt idx="10">
                        <c:v>3.9E-2</c:v>
                      </c:pt>
                      <c:pt idx="11">
                        <c:v>4.0819190133180347E-2</c:v>
                      </c:pt>
                      <c:pt idx="12">
                        <c:v>1.7000000000000001E-2</c:v>
                      </c:pt>
                      <c:pt idx="13">
                        <c:v>1.471515065947053E-2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A527-490B-8323-50A04395D525}"/>
                  </c:ext>
                </c:extLst>
              </c15:ser>
            </c15:filteredLineSeries>
          </c:ext>
        </c:extLst>
      </c:lineChart>
      <c:catAx>
        <c:axId val="199412708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994131664"/>
        <c:crosses val="autoZero"/>
        <c:auto val="1"/>
        <c:lblAlgn val="ctr"/>
        <c:lblOffset val="100"/>
        <c:noMultiLvlLbl val="0"/>
      </c:catAx>
      <c:valAx>
        <c:axId val="1994131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9941270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M/M/1/K</a:t>
            </a:r>
            <a:r>
              <a:rPr lang="ru-RU"/>
              <a:t> при К-1 = </a:t>
            </a:r>
            <a:r>
              <a:rPr lang="en-US"/>
              <a:t>5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0.11326013825736572"/>
          <c:y val="0.20056510327513405"/>
          <c:w val="0.85991222928119904"/>
          <c:h val="0.7212173913043478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Лист1!$G$4:$G$13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1E-3</c:v>
                </c:pt>
                <c:pt idx="3">
                  <c:v>3.0000000000000001E-3</c:v>
                </c:pt>
                <c:pt idx="4">
                  <c:v>8.9999999999999993E-3</c:v>
                </c:pt>
                <c:pt idx="5">
                  <c:v>2.3E-2</c:v>
                </c:pt>
                <c:pt idx="6">
                  <c:v>4.7E-2</c:v>
                </c:pt>
                <c:pt idx="7">
                  <c:v>7.4999999999999997E-2</c:v>
                </c:pt>
                <c:pt idx="8">
                  <c:v>0.113</c:v>
                </c:pt>
                <c:pt idx="9">
                  <c:v>0.13800000000000001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1E-452E-9BF3-69AF8BCF78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127088"/>
        <c:axId val="1994131664"/>
        <c:extLst/>
      </c:lineChart>
      <c:catAx>
        <c:axId val="199412708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994131664"/>
        <c:crosses val="autoZero"/>
        <c:auto val="1"/>
        <c:lblAlgn val="ctr"/>
        <c:lblOffset val="100"/>
        <c:noMultiLvlLbl val="0"/>
      </c:catAx>
      <c:valAx>
        <c:axId val="1994131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9941270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M/M/1/K</a:t>
            </a:r>
            <a:r>
              <a:rPr lang="ru-RU"/>
              <a:t> при К-1 = </a:t>
            </a:r>
            <a:r>
              <a:rPr lang="en-US"/>
              <a:t>10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0.11326013825736572"/>
          <c:y val="0.20056510327513405"/>
          <c:w val="0.85991222928119904"/>
          <c:h val="0.7212173913043478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Лист1!$I$4:$I$13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2E-3</c:v>
                </c:pt>
                <c:pt idx="6">
                  <c:v>8.0000000000000002E-3</c:v>
                </c:pt>
                <c:pt idx="7">
                  <c:v>2.4E-2</c:v>
                </c:pt>
                <c:pt idx="8">
                  <c:v>5.1999999999999998E-2</c:v>
                </c:pt>
                <c:pt idx="9">
                  <c:v>7.2999999999999995E-2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BF-4A5B-96C3-CA410AAB4D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127088"/>
        <c:axId val="1994131664"/>
        <c:extLst/>
      </c:lineChart>
      <c:catAx>
        <c:axId val="199412708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994131664"/>
        <c:crosses val="autoZero"/>
        <c:auto val="1"/>
        <c:lblAlgn val="ctr"/>
        <c:lblOffset val="100"/>
        <c:noMultiLvlLbl val="0"/>
      </c:catAx>
      <c:valAx>
        <c:axId val="1994131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9941270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M/M/1/K</a:t>
            </a:r>
            <a:r>
              <a:rPr lang="ru-RU"/>
              <a:t> при К-1 = </a:t>
            </a:r>
            <a:r>
              <a:rPr lang="en-US"/>
              <a:t>20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0.11326013825736572"/>
          <c:y val="0.20056510327513405"/>
          <c:w val="0.85991222928119904"/>
          <c:h val="0.7212173913043478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Лист1!$K$4:$K$13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4.0000000000000001E-3</c:v>
                </c:pt>
                <c:pt idx="8">
                  <c:v>1.7000000000000001E-2</c:v>
                </c:pt>
                <c:pt idx="9">
                  <c:v>3.9E-2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81-4BF7-8CF2-E2B25EBD06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127088"/>
        <c:axId val="1994131664"/>
        <c:extLst/>
      </c:lineChart>
      <c:catAx>
        <c:axId val="199412708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994131664"/>
        <c:crosses val="autoZero"/>
        <c:auto val="1"/>
        <c:lblAlgn val="ctr"/>
        <c:lblOffset val="100"/>
        <c:noMultiLvlLbl val="0"/>
      </c:catAx>
      <c:valAx>
        <c:axId val="1994131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9941270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M/M/1/K</a:t>
            </a:r>
            <a:r>
              <a:rPr lang="ru-RU"/>
              <a:t> при К-1 = </a:t>
            </a:r>
            <a:r>
              <a:rPr lang="en-US"/>
              <a:t>50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0.11326013825736572"/>
          <c:y val="0.20056510327513405"/>
          <c:w val="0.85991222928119904"/>
          <c:h val="0.7212173913043478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Лист1!$M$4:$M$13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2E-3</c:v>
                </c:pt>
                <c:pt idx="9">
                  <c:v>1.7000000000000001E-2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D7-4F53-AAF6-B79AE2341F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127088"/>
        <c:axId val="1994131664"/>
        <c:extLst/>
      </c:lineChart>
      <c:catAx>
        <c:axId val="199412708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994131664"/>
        <c:crosses val="autoZero"/>
        <c:auto val="1"/>
        <c:lblAlgn val="ctr"/>
        <c:lblOffset val="100"/>
        <c:noMultiLvlLbl val="0"/>
      </c:catAx>
      <c:valAx>
        <c:axId val="1994131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9941270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G/G/1/K</a:t>
            </a:r>
            <a:r>
              <a:rPr lang="ru-RU"/>
              <a:t> при К-1 = </a:t>
            </a:r>
            <a:r>
              <a:rPr lang="en-US"/>
              <a:t>5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0.11326013825736572"/>
          <c:y val="0.20056510327513405"/>
          <c:w val="0.85991222928119904"/>
          <c:h val="0.7212173913043478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Лист1!$B$19:$B$28</c:f>
              <c:numCache>
                <c:formatCode>General</c:formatCode>
                <c:ptCount val="10"/>
                <c:pt idx="0">
                  <c:v>0.12</c:v>
                </c:pt>
                <c:pt idx="1">
                  <c:v>0.22</c:v>
                </c:pt>
                <c:pt idx="2">
                  <c:v>0.32</c:v>
                </c:pt>
                <c:pt idx="3">
                  <c:v>0.42</c:v>
                </c:pt>
                <c:pt idx="4">
                  <c:v>0.52</c:v>
                </c:pt>
                <c:pt idx="5">
                  <c:v>0.62</c:v>
                </c:pt>
                <c:pt idx="6">
                  <c:v>0.72</c:v>
                </c:pt>
                <c:pt idx="7">
                  <c:v>0.82</c:v>
                </c:pt>
                <c:pt idx="8">
                  <c:v>0.92</c:v>
                </c:pt>
                <c:pt idx="9">
                  <c:v>1.02</c:v>
                </c:pt>
              </c:numCache>
            </c:numRef>
          </c:cat>
          <c:val>
            <c:numRef>
              <c:f>Лист1!$J$19:$J$28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2E-3</c:v>
                </c:pt>
                <c:pt idx="4">
                  <c:v>1.9E-2</c:v>
                </c:pt>
                <c:pt idx="5">
                  <c:v>6.3E-2</c:v>
                </c:pt>
                <c:pt idx="6">
                  <c:v>0.123</c:v>
                </c:pt>
                <c:pt idx="7">
                  <c:v>0.20100000000000001</c:v>
                </c:pt>
                <c:pt idx="8">
                  <c:v>0.25900000000000001</c:v>
                </c:pt>
                <c:pt idx="9">
                  <c:v>0.311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821-4701-99E4-CE6171FC02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127088"/>
        <c:axId val="1994131664"/>
        <c:extLst/>
      </c:lineChart>
      <c:catAx>
        <c:axId val="199412708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994131664"/>
        <c:crosses val="autoZero"/>
        <c:auto val="1"/>
        <c:lblAlgn val="ctr"/>
        <c:lblOffset val="100"/>
        <c:noMultiLvlLbl val="0"/>
      </c:catAx>
      <c:valAx>
        <c:axId val="1994131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9941270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G/G/1/K</a:t>
            </a:r>
            <a:r>
              <a:rPr lang="ru-RU"/>
              <a:t> при К-1 = </a:t>
            </a:r>
            <a:r>
              <a:rPr lang="en-US"/>
              <a:t>10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0.11326013825736572"/>
          <c:y val="0.20056510327513405"/>
          <c:w val="0.85991222928119904"/>
          <c:h val="0.7212173913043478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Лист1!$S$19:$S$28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1E-3</c:v>
                </c:pt>
                <c:pt idx="5">
                  <c:v>1.0999999999999999E-2</c:v>
                </c:pt>
                <c:pt idx="6">
                  <c:v>4.1000000000000002E-2</c:v>
                </c:pt>
                <c:pt idx="7">
                  <c:v>9.9000000000000005E-2</c:v>
                </c:pt>
                <c:pt idx="8">
                  <c:v>0.158</c:v>
                </c:pt>
                <c:pt idx="9">
                  <c:v>0.20200000000000001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E8-4779-8C15-F306F40F47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127088"/>
        <c:axId val="1994131664"/>
        <c:extLst/>
      </c:lineChart>
      <c:catAx>
        <c:axId val="199412708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994131664"/>
        <c:crosses val="autoZero"/>
        <c:auto val="1"/>
        <c:lblAlgn val="ctr"/>
        <c:lblOffset val="100"/>
        <c:noMultiLvlLbl val="0"/>
      </c:catAx>
      <c:valAx>
        <c:axId val="1994131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9941270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15240</xdr:colOff>
      <xdr:row>29</xdr:row>
      <xdr:rowOff>11430</xdr:rowOff>
    </xdr:from>
    <xdr:to>
      <xdr:col>6</xdr:col>
      <xdr:colOff>426720</xdr:colOff>
      <xdr:row>41</xdr:row>
      <xdr:rowOff>7620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786EEED5-05FD-4A95-AA91-A5F61F91F6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29</xdr:row>
      <xdr:rowOff>38100</xdr:rowOff>
    </xdr:from>
    <xdr:to>
      <xdr:col>14</xdr:col>
      <xdr:colOff>396240</xdr:colOff>
      <xdr:row>41</xdr:row>
      <xdr:rowOff>34290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B0D1C182-072D-4FF3-AC5D-71C37E1D18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0</xdr:colOff>
      <xdr:row>29</xdr:row>
      <xdr:rowOff>0</xdr:rowOff>
    </xdr:from>
    <xdr:to>
      <xdr:col>22</xdr:col>
      <xdr:colOff>281940</xdr:colOff>
      <xdr:row>40</xdr:row>
      <xdr:rowOff>179070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6D8F55C2-3C00-497B-9ACF-0AD55ABD83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41</xdr:row>
      <xdr:rowOff>0</xdr:rowOff>
    </xdr:from>
    <xdr:to>
      <xdr:col>6</xdr:col>
      <xdr:colOff>411480</xdr:colOff>
      <xdr:row>52</xdr:row>
      <xdr:rowOff>179070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466EDFDB-F390-449D-8A08-C6935BE0E4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0</xdr:colOff>
      <xdr:row>41</xdr:row>
      <xdr:rowOff>0</xdr:rowOff>
    </xdr:from>
    <xdr:to>
      <xdr:col>14</xdr:col>
      <xdr:colOff>396240</xdr:colOff>
      <xdr:row>52</xdr:row>
      <xdr:rowOff>179070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93D2F199-E8E0-4451-9134-9EBABB1D4E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0</xdr:colOff>
      <xdr:row>41</xdr:row>
      <xdr:rowOff>0</xdr:rowOff>
    </xdr:from>
    <xdr:to>
      <xdr:col>22</xdr:col>
      <xdr:colOff>281940</xdr:colOff>
      <xdr:row>52</xdr:row>
      <xdr:rowOff>179070</xdr:rowOff>
    </xdr:to>
    <xdr:graphicFrame macro="">
      <xdr:nvGraphicFramePr>
        <xdr:cNvPr id="7" name="Диаграмма 6">
          <a:extLst>
            <a:ext uri="{FF2B5EF4-FFF2-40B4-BE49-F238E27FC236}">
              <a16:creationId xmlns:a16="http://schemas.microsoft.com/office/drawing/2014/main" id="{5654A01E-5B4B-4567-B4DF-96D756FD75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54</xdr:row>
      <xdr:rowOff>0</xdr:rowOff>
    </xdr:from>
    <xdr:to>
      <xdr:col>6</xdr:col>
      <xdr:colOff>411480</xdr:colOff>
      <xdr:row>65</xdr:row>
      <xdr:rowOff>179070</xdr:rowOff>
    </xdr:to>
    <xdr:graphicFrame macro="">
      <xdr:nvGraphicFramePr>
        <xdr:cNvPr id="8" name="Диаграмма 7">
          <a:extLst>
            <a:ext uri="{FF2B5EF4-FFF2-40B4-BE49-F238E27FC236}">
              <a16:creationId xmlns:a16="http://schemas.microsoft.com/office/drawing/2014/main" id="{E2B6CACE-139E-4C4A-BC8E-5D3B44C9FA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0</xdr:colOff>
      <xdr:row>54</xdr:row>
      <xdr:rowOff>0</xdr:rowOff>
    </xdr:from>
    <xdr:to>
      <xdr:col>14</xdr:col>
      <xdr:colOff>396240</xdr:colOff>
      <xdr:row>65</xdr:row>
      <xdr:rowOff>179070</xdr:rowOff>
    </xdr:to>
    <xdr:graphicFrame macro="">
      <xdr:nvGraphicFramePr>
        <xdr:cNvPr id="9" name="Диаграмма 8">
          <a:extLst>
            <a:ext uri="{FF2B5EF4-FFF2-40B4-BE49-F238E27FC236}">
              <a16:creationId xmlns:a16="http://schemas.microsoft.com/office/drawing/2014/main" id="{396D0C87-8BF4-4878-BE9C-B3EF6A3860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28"/>
  <sheetViews>
    <sheetView tabSelected="1" workbookViewId="0">
      <selection activeCell="U14" sqref="U14"/>
    </sheetView>
  </sheetViews>
  <sheetFormatPr defaultRowHeight="15" x14ac:dyDescent="0.25"/>
  <cols>
    <col min="5" max="5" width="6.85546875" customWidth="1"/>
    <col min="6" max="6" width="6.7109375" customWidth="1"/>
    <col min="7" max="7" width="7.140625" customWidth="1"/>
    <col min="8" max="10" width="6.42578125" customWidth="1"/>
    <col min="11" max="11" width="6.7109375" customWidth="1"/>
    <col min="12" max="13" width="8.140625" customWidth="1"/>
    <col min="14" max="14" width="7.28515625" customWidth="1"/>
    <col min="15" max="15" width="6.28515625" customWidth="1"/>
    <col min="16" max="19" width="6.7109375" customWidth="1"/>
    <col min="20" max="20" width="6.5703125" customWidth="1"/>
  </cols>
  <sheetData>
    <row r="1" spans="1:23" x14ac:dyDescent="0.25">
      <c r="A1" s="16" t="s">
        <v>0</v>
      </c>
      <c r="B1" s="16" t="s">
        <v>1</v>
      </c>
      <c r="C1" s="18" t="s">
        <v>2</v>
      </c>
      <c r="D1" s="19"/>
      <c r="E1" s="19"/>
      <c r="F1" s="19"/>
      <c r="G1" s="19"/>
      <c r="H1" s="19"/>
      <c r="I1" s="19"/>
      <c r="J1" s="19"/>
      <c r="K1" s="19"/>
      <c r="L1" s="19"/>
      <c r="M1" s="19"/>
      <c r="N1" s="20"/>
      <c r="O1" s="9"/>
      <c r="Q1" t="s">
        <v>5</v>
      </c>
      <c r="R1" s="9"/>
    </row>
    <row r="2" spans="1:23" x14ac:dyDescent="0.25">
      <c r="A2" s="16"/>
      <c r="B2" s="16"/>
      <c r="C2" s="16">
        <v>0</v>
      </c>
      <c r="D2" s="16"/>
      <c r="E2" s="16">
        <v>1</v>
      </c>
      <c r="F2" s="16"/>
      <c r="G2" s="16">
        <v>5</v>
      </c>
      <c r="H2" s="16"/>
      <c r="I2" s="16">
        <v>10</v>
      </c>
      <c r="J2" s="16"/>
      <c r="K2" s="16">
        <v>20</v>
      </c>
      <c r="L2" s="16"/>
      <c r="M2" s="16">
        <v>50</v>
      </c>
      <c r="N2" s="16"/>
      <c r="P2" t="s">
        <v>6</v>
      </c>
    </row>
    <row r="3" spans="1:23" x14ac:dyDescent="0.25">
      <c r="A3" s="16"/>
      <c r="B3" s="16"/>
      <c r="C3" s="1" t="s">
        <v>3</v>
      </c>
      <c r="D3" s="1" t="s">
        <v>4</v>
      </c>
      <c r="E3" s="1" t="s">
        <v>3</v>
      </c>
      <c r="F3" s="1" t="s">
        <v>4</v>
      </c>
      <c r="G3" s="1" t="s">
        <v>3</v>
      </c>
      <c r="H3" s="1" t="s">
        <v>4</v>
      </c>
      <c r="I3" s="1" t="s">
        <v>3</v>
      </c>
      <c r="J3" s="1" t="s">
        <v>4</v>
      </c>
      <c r="K3" s="1" t="s">
        <v>3</v>
      </c>
      <c r="L3" s="1" t="s">
        <v>4</v>
      </c>
      <c r="M3" s="1" t="s">
        <v>3</v>
      </c>
      <c r="N3" s="1" t="s">
        <v>4</v>
      </c>
      <c r="P3" t="s">
        <v>9</v>
      </c>
      <c r="Q3">
        <v>1</v>
      </c>
    </row>
    <row r="4" spans="1:23" x14ac:dyDescent="0.25">
      <c r="A4" s="1">
        <v>1</v>
      </c>
      <c r="B4" s="1">
        <v>0.12</v>
      </c>
      <c r="C4" s="1">
        <v>0.11700000000000001</v>
      </c>
      <c r="D4" s="1">
        <f t="shared" ref="D4:D13" si="0">(1-B4)*B4/(1-B4^$Q$4)</f>
        <v>0.10714285714285714</v>
      </c>
      <c r="E4" s="1">
        <v>1.4E-2</v>
      </c>
      <c r="F4" s="1">
        <f>(1-B4)*(B4^$S$4)/(1-B4^$S$5)</f>
        <v>1.2693935119887164E-2</v>
      </c>
      <c r="G4" s="1">
        <v>0</v>
      </c>
      <c r="H4" s="1">
        <f>(1-B4)*(B4^$T$4)/(1-B4^$T$5)</f>
        <v>2.6276668615405445E-6</v>
      </c>
      <c r="I4" s="1">
        <v>0</v>
      </c>
      <c r="J4" s="1">
        <f>(1-B4)*(B4^$U$4)/(1-B4^$U$5)</f>
        <v>6.538473662112698E-11</v>
      </c>
      <c r="K4" s="1">
        <v>0</v>
      </c>
      <c r="L4" s="1">
        <f>(1-B4)*(B4^$V$4)/(1-B4^$V$5)</f>
        <v>4.0484505520245331E-20</v>
      </c>
      <c r="M4" s="1">
        <v>0</v>
      </c>
      <c r="N4" s="1">
        <f>(1-B4)*(B4^$W$4)/(1-B4^$W$5)</f>
        <v>9.6100626864022679E-48</v>
      </c>
      <c r="P4" t="s">
        <v>10</v>
      </c>
      <c r="Q4">
        <v>2</v>
      </c>
      <c r="S4">
        <v>2</v>
      </c>
      <c r="T4">
        <v>6</v>
      </c>
      <c r="U4">
        <v>11</v>
      </c>
      <c r="V4">
        <v>21</v>
      </c>
      <c r="W4">
        <v>51</v>
      </c>
    </row>
    <row r="5" spans="1:23" x14ac:dyDescent="0.25">
      <c r="A5" s="1">
        <v>2</v>
      </c>
      <c r="B5" s="1">
        <v>0.22</v>
      </c>
      <c r="C5" s="1">
        <v>0.187</v>
      </c>
      <c r="D5" s="1">
        <f t="shared" si="0"/>
        <v>0.18032786885245902</v>
      </c>
      <c r="E5" s="1">
        <v>4.1000000000000002E-2</v>
      </c>
      <c r="F5" s="1">
        <f t="shared" ref="F5:F12" si="1">(1-B5)*(B5^$S$4)/(1-B5^$S$5)</f>
        <v>3.8158309681488492E-2</v>
      </c>
      <c r="G5" s="1">
        <v>0</v>
      </c>
      <c r="H5" s="1">
        <f t="shared" ref="H5:H13" si="2">(1-B5)*(B5^$T$4)/(1-B5^$T$5)</f>
        <v>8.8438531093476362E-5</v>
      </c>
      <c r="I5" s="1">
        <v>0</v>
      </c>
      <c r="J5" s="1">
        <f t="shared" ref="J5:J13" si="3">(1-B5)*(B5^$U$4)/(1-B5^$U$5)</f>
        <v>4.5576828095973832E-8</v>
      </c>
      <c r="K5" s="1">
        <v>0</v>
      </c>
      <c r="L5" s="1">
        <f t="shared" ref="L5:L13" si="4">(1-B5)*(B5^$V$4)/(1-B5^$V$5)</f>
        <v>1.2105170197458735E-14</v>
      </c>
      <c r="M5" s="1">
        <v>0</v>
      </c>
      <c r="N5" s="1">
        <f t="shared" ref="N5:N13" si="5">(1-B5)*(B5^$W$4)/(1-B5^$W$5)</f>
        <v>2.268043211515656E-34</v>
      </c>
      <c r="P5" t="s">
        <v>7</v>
      </c>
      <c r="S5">
        <v>3</v>
      </c>
      <c r="T5">
        <v>7</v>
      </c>
      <c r="U5">
        <v>12</v>
      </c>
      <c r="V5">
        <v>22</v>
      </c>
      <c r="W5">
        <v>52</v>
      </c>
    </row>
    <row r="6" spans="1:23" x14ac:dyDescent="0.25">
      <c r="A6" s="1">
        <v>3</v>
      </c>
      <c r="B6" s="1">
        <v>0.32</v>
      </c>
      <c r="C6" s="1">
        <v>0.246</v>
      </c>
      <c r="D6" s="1">
        <f t="shared" si="0"/>
        <v>0.24242424242424243</v>
      </c>
      <c r="E6" s="1">
        <v>7.4999999999999997E-2</v>
      </c>
      <c r="F6" s="1">
        <f t="shared" si="1"/>
        <v>7.19910011248594E-2</v>
      </c>
      <c r="G6" s="1">
        <v>1E-3</v>
      </c>
      <c r="H6" s="1">
        <f t="shared" si="2"/>
        <v>7.303954022692715E-4</v>
      </c>
      <c r="I6" s="1">
        <v>0</v>
      </c>
      <c r="J6" s="1">
        <f t="shared" si="3"/>
        <v>2.4499610219022978E-6</v>
      </c>
      <c r="K6" s="1">
        <v>0</v>
      </c>
      <c r="L6" s="1">
        <f t="shared" si="4"/>
        <v>2.7584077061324338E-11</v>
      </c>
      <c r="M6" s="1">
        <v>0</v>
      </c>
      <c r="N6" s="1">
        <f t="shared" si="5"/>
        <v>3.936931034068753E-26</v>
      </c>
      <c r="P6" t="s">
        <v>8</v>
      </c>
    </row>
    <row r="7" spans="1:23" x14ac:dyDescent="0.25">
      <c r="A7" s="1">
        <v>4</v>
      </c>
      <c r="B7" s="1">
        <v>0.42</v>
      </c>
      <c r="C7" s="1">
        <v>0.30099999999999999</v>
      </c>
      <c r="D7" s="1">
        <f t="shared" si="0"/>
        <v>0.29577464788732394</v>
      </c>
      <c r="E7" s="1">
        <v>0.115</v>
      </c>
      <c r="F7" s="1">
        <f t="shared" si="1"/>
        <v>0.11049862189927336</v>
      </c>
      <c r="G7" s="1">
        <v>3.0000000000000001E-3</v>
      </c>
      <c r="H7" s="1">
        <f t="shared" si="2"/>
        <v>3.190994909909282E-3</v>
      </c>
      <c r="I7" s="1">
        <v>0</v>
      </c>
      <c r="J7" s="1">
        <f t="shared" si="3"/>
        <v>4.1608616269941442E-5</v>
      </c>
      <c r="K7" s="1">
        <v>0</v>
      </c>
      <c r="L7" s="1">
        <f t="shared" si="4"/>
        <v>7.1066200060255641E-9</v>
      </c>
      <c r="M7" s="1">
        <v>0</v>
      </c>
      <c r="N7" s="1">
        <f t="shared" si="5"/>
        <v>3.5411294555495251E-20</v>
      </c>
    </row>
    <row r="8" spans="1:23" x14ac:dyDescent="0.25">
      <c r="A8" s="1">
        <v>5</v>
      </c>
      <c r="B8" s="1">
        <v>0.52</v>
      </c>
      <c r="C8" s="1">
        <v>0.34799999999999998</v>
      </c>
      <c r="D8" s="1">
        <f t="shared" si="0"/>
        <v>0.34210526315789469</v>
      </c>
      <c r="E8" s="1">
        <v>0.154</v>
      </c>
      <c r="F8" s="1">
        <f t="shared" si="1"/>
        <v>0.15102770330652371</v>
      </c>
      <c r="G8" s="1">
        <v>8.9999999999999993E-3</v>
      </c>
      <c r="H8" s="1">
        <f t="shared" si="2"/>
        <v>9.5884689749572132E-3</v>
      </c>
      <c r="I8" s="1">
        <v>0</v>
      </c>
      <c r="J8" s="1">
        <f t="shared" si="3"/>
        <v>3.6095063175127468E-4</v>
      </c>
      <c r="K8" s="1">
        <v>0</v>
      </c>
      <c r="L8" s="1">
        <f t="shared" si="4"/>
        <v>5.2156891395581686E-7</v>
      </c>
      <c r="M8" s="1">
        <v>0</v>
      </c>
      <c r="N8" s="1">
        <f t="shared" si="5"/>
        <v>1.5754758948381493E-15</v>
      </c>
    </row>
    <row r="9" spans="1:23" x14ac:dyDescent="0.25">
      <c r="A9" s="1">
        <v>6</v>
      </c>
      <c r="B9" s="1">
        <v>0.62</v>
      </c>
      <c r="C9" s="1">
        <v>0.38400000000000001</v>
      </c>
      <c r="D9" s="1">
        <f t="shared" si="0"/>
        <v>0.38271604938271608</v>
      </c>
      <c r="E9" s="1">
        <v>0.19400000000000001</v>
      </c>
      <c r="F9" s="1">
        <f t="shared" si="1"/>
        <v>0.19177808820594691</v>
      </c>
      <c r="G9" s="1">
        <v>2.3E-2</v>
      </c>
      <c r="H9" s="1">
        <f t="shared" si="2"/>
        <v>2.2371943139202714E-2</v>
      </c>
      <c r="I9" s="1">
        <v>2E-3</v>
      </c>
      <c r="J9" s="1">
        <f t="shared" si="3"/>
        <v>1.9837895402430891E-3</v>
      </c>
      <c r="K9" s="1">
        <v>0</v>
      </c>
      <c r="L9" s="1">
        <f t="shared" si="4"/>
        <v>1.6596665310995981E-5</v>
      </c>
      <c r="M9" s="1">
        <v>0</v>
      </c>
      <c r="N9" s="1">
        <f t="shared" si="5"/>
        <v>9.8120501904081563E-12</v>
      </c>
    </row>
    <row r="10" spans="1:23" x14ac:dyDescent="0.25">
      <c r="A10" s="1">
        <v>7</v>
      </c>
      <c r="B10" s="1">
        <v>0.72</v>
      </c>
      <c r="C10" s="1">
        <v>0.42099999999999999</v>
      </c>
      <c r="D10" s="1">
        <f t="shared" si="0"/>
        <v>0.41860465116279066</v>
      </c>
      <c r="E10" s="1">
        <v>0.23400000000000001</v>
      </c>
      <c r="F10" s="1">
        <f t="shared" si="1"/>
        <v>0.23159399571122233</v>
      </c>
      <c r="G10" s="1">
        <v>4.7E-2</v>
      </c>
      <c r="H10" s="1">
        <f t="shared" si="2"/>
        <v>4.3356902568402675E-2</v>
      </c>
      <c r="I10" s="1">
        <v>8.0000000000000002E-3</v>
      </c>
      <c r="J10" s="1">
        <f t="shared" si="3"/>
        <v>7.6971035258793794E-3</v>
      </c>
      <c r="K10" s="1">
        <v>0</v>
      </c>
      <c r="L10" s="1">
        <f t="shared" si="4"/>
        <v>2.8278485321735957E-4</v>
      </c>
      <c r="M10" s="1">
        <v>0</v>
      </c>
      <c r="N10" s="1">
        <f t="shared" si="5"/>
        <v>1.4829119532583837E-8</v>
      </c>
    </row>
    <row r="11" spans="1:23" x14ac:dyDescent="0.25">
      <c r="A11" s="1">
        <v>8</v>
      </c>
      <c r="B11" s="1">
        <v>0.82</v>
      </c>
      <c r="C11" s="1">
        <v>0.45200000000000001</v>
      </c>
      <c r="D11" s="1">
        <f t="shared" si="0"/>
        <v>0.4505494505494505</v>
      </c>
      <c r="E11" s="1">
        <v>0.27</v>
      </c>
      <c r="F11" s="1">
        <f t="shared" si="1"/>
        <v>0.26978013160006414</v>
      </c>
      <c r="G11" s="1">
        <v>7.4999999999999997E-2</v>
      </c>
      <c r="H11" s="1">
        <f t="shared" si="2"/>
        <v>7.2892156353626725E-2</v>
      </c>
      <c r="I11" s="1">
        <v>2.4E-2</v>
      </c>
      <c r="J11" s="1">
        <f t="shared" si="3"/>
        <v>2.235321479429898E-2</v>
      </c>
      <c r="K11" s="1">
        <v>4.0000000000000001E-3</v>
      </c>
      <c r="L11" s="1">
        <f t="shared" si="4"/>
        <v>2.8243308374977785E-3</v>
      </c>
      <c r="M11" s="1">
        <v>0</v>
      </c>
      <c r="N11" s="1">
        <f t="shared" si="5"/>
        <v>7.2409125465197038E-6</v>
      </c>
    </row>
    <row r="12" spans="1:23" x14ac:dyDescent="0.25">
      <c r="A12" s="1">
        <v>9</v>
      </c>
      <c r="B12" s="1">
        <v>0.92</v>
      </c>
      <c r="C12" s="1">
        <v>0.48099999999999998</v>
      </c>
      <c r="D12" s="1">
        <f t="shared" si="0"/>
        <v>0.47916666666666663</v>
      </c>
      <c r="E12" s="1">
        <v>0.30599999999999999</v>
      </c>
      <c r="F12" s="1">
        <f t="shared" si="1"/>
        <v>0.3059572006940427</v>
      </c>
      <c r="G12" s="1">
        <v>0.113</v>
      </c>
      <c r="H12" s="1">
        <f t="shared" si="2"/>
        <v>0.1097094362345139</v>
      </c>
      <c r="I12" s="1">
        <v>5.1999999999999998E-2</v>
      </c>
      <c r="J12" s="1">
        <f t="shared" si="3"/>
        <v>5.0560320702056988E-2</v>
      </c>
      <c r="K12" s="1">
        <v>1.7000000000000001E-2</v>
      </c>
      <c r="L12" s="1">
        <f t="shared" si="4"/>
        <v>1.6527424561835587E-2</v>
      </c>
      <c r="M12" s="1">
        <v>2E-3</v>
      </c>
      <c r="N12" s="1">
        <f t="shared" si="5"/>
        <v>1.1534319978227564E-3</v>
      </c>
    </row>
    <row r="13" spans="1:23" x14ac:dyDescent="0.25">
      <c r="A13" s="1">
        <v>10</v>
      </c>
      <c r="B13" s="1">
        <v>0.99</v>
      </c>
      <c r="C13" s="1">
        <v>0.497</v>
      </c>
      <c r="D13" s="1">
        <f t="shared" si="0"/>
        <v>0.49748743718592942</v>
      </c>
      <c r="E13" s="1">
        <v>0.32700000000000001</v>
      </c>
      <c r="F13" s="1">
        <f>(1-B13)*(B13^$S$4)/(1-B13^$S$5)</f>
        <v>0.32998888926298703</v>
      </c>
      <c r="G13" s="1">
        <v>0.13800000000000001</v>
      </c>
      <c r="H13" s="1">
        <f t="shared" si="2"/>
        <v>0.13858614424226531</v>
      </c>
      <c r="I13" s="1">
        <v>7.2999999999999995E-2</v>
      </c>
      <c r="J13" s="1">
        <f t="shared" si="3"/>
        <v>7.8804492657147465E-2</v>
      </c>
      <c r="K13" s="1">
        <v>3.9E-2</v>
      </c>
      <c r="L13" s="1">
        <f t="shared" si="4"/>
        <v>4.0819190133180347E-2</v>
      </c>
      <c r="M13" s="1">
        <v>1.7000000000000001E-2</v>
      </c>
      <c r="N13" s="1">
        <f t="shared" si="5"/>
        <v>1.471515065947053E-2</v>
      </c>
    </row>
    <row r="15" spans="1:23" x14ac:dyDescent="0.25">
      <c r="O15" s="9"/>
      <c r="P15" s="9"/>
      <c r="Q15" s="9"/>
    </row>
    <row r="16" spans="1:23" x14ac:dyDescent="0.25">
      <c r="A16" s="16" t="s">
        <v>0</v>
      </c>
      <c r="B16" s="16" t="s">
        <v>17</v>
      </c>
      <c r="C16" s="16" t="s">
        <v>2</v>
      </c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</row>
    <row r="17" spans="1:20" x14ac:dyDescent="0.25">
      <c r="A17" s="16"/>
      <c r="B17" s="16"/>
      <c r="C17" s="16">
        <v>5</v>
      </c>
      <c r="D17" s="16"/>
      <c r="E17" s="16"/>
      <c r="F17" s="16"/>
      <c r="G17" s="16"/>
      <c r="H17" s="16"/>
      <c r="I17" s="16"/>
      <c r="J17" s="16"/>
      <c r="K17" s="17"/>
      <c r="L17" s="18">
        <v>10</v>
      </c>
      <c r="M17" s="19"/>
      <c r="N17" s="19"/>
      <c r="O17" s="19"/>
      <c r="P17" s="19"/>
      <c r="Q17" s="19"/>
      <c r="R17" s="19"/>
      <c r="S17" s="19"/>
      <c r="T17" s="20"/>
    </row>
    <row r="18" spans="1:20" x14ac:dyDescent="0.25">
      <c r="A18" s="16"/>
      <c r="B18" s="16"/>
      <c r="C18" s="2" t="s">
        <v>1</v>
      </c>
      <c r="D18" s="2" t="s">
        <v>18</v>
      </c>
      <c r="E18" s="2" t="s">
        <v>11</v>
      </c>
      <c r="F18" s="2" t="s">
        <v>12</v>
      </c>
      <c r="G18" s="5" t="s">
        <v>13</v>
      </c>
      <c r="H18" s="2" t="s">
        <v>14</v>
      </c>
      <c r="I18" s="7" t="s">
        <v>19</v>
      </c>
      <c r="J18" s="14" t="s">
        <v>15</v>
      </c>
      <c r="K18" s="15" t="s">
        <v>16</v>
      </c>
      <c r="L18" s="4" t="s">
        <v>1</v>
      </c>
      <c r="M18" s="2" t="s">
        <v>18</v>
      </c>
      <c r="N18" s="2" t="s">
        <v>11</v>
      </c>
      <c r="O18" s="2" t="s">
        <v>12</v>
      </c>
      <c r="P18" s="5" t="s">
        <v>13</v>
      </c>
      <c r="Q18" s="2" t="s">
        <v>14</v>
      </c>
      <c r="R18" s="6" t="s">
        <v>19</v>
      </c>
      <c r="S18" s="15" t="s">
        <v>15</v>
      </c>
      <c r="T18" s="15" t="s">
        <v>16</v>
      </c>
    </row>
    <row r="19" spans="1:20" x14ac:dyDescent="0.25">
      <c r="A19" s="1">
        <v>1</v>
      </c>
      <c r="B19" s="1">
        <v>0.12</v>
      </c>
      <c r="C19" s="1">
        <v>15.46</v>
      </c>
      <c r="D19" s="1">
        <v>0.5</v>
      </c>
      <c r="E19" s="3">
        <f>SQRT(C19)/C19</f>
        <v>0.25432863197073091</v>
      </c>
      <c r="F19" s="1">
        <v>1</v>
      </c>
      <c r="G19" s="1">
        <f>C19*D19</f>
        <v>7.73</v>
      </c>
      <c r="H19" s="1">
        <v>1</v>
      </c>
      <c r="I19" s="8">
        <f>H19/G19</f>
        <v>0.12936610608020699</v>
      </c>
      <c r="J19" s="10">
        <v>0</v>
      </c>
      <c r="K19" s="11">
        <f>((1-I19)*(I19^((2*6)/(E19^2))))/(1-I19^((2*7)/(E19^2)))</f>
        <v>1.4614227326513411E-165</v>
      </c>
      <c r="L19" s="1">
        <v>15.46</v>
      </c>
      <c r="M19" s="1">
        <v>0.5</v>
      </c>
      <c r="N19" s="3">
        <f>SQRT(L19)/L19</f>
        <v>0.25432863197073091</v>
      </c>
      <c r="O19" s="1">
        <v>1</v>
      </c>
      <c r="P19" s="1">
        <f>L19*M19</f>
        <v>7.73</v>
      </c>
      <c r="Q19" s="1">
        <v>1</v>
      </c>
      <c r="R19" s="8">
        <f t="shared" ref="R19:R28" si="6">Q19/P19</f>
        <v>0.12936610608020699</v>
      </c>
      <c r="S19" s="12">
        <v>0</v>
      </c>
      <c r="T19" s="13">
        <f>((1-R19)*(R19^((2*11)/(N19^2))))/(1-R19^((2*12)/(N19^2)))</f>
        <v>7.1158387615583456E-303</v>
      </c>
    </row>
    <row r="20" spans="1:20" x14ac:dyDescent="0.25">
      <c r="A20" s="1">
        <v>2</v>
      </c>
      <c r="B20" s="1">
        <v>0.22</v>
      </c>
      <c r="C20" s="1">
        <v>4.3499999999999996</v>
      </c>
      <c r="D20" s="1">
        <v>1</v>
      </c>
      <c r="E20" s="3">
        <f t="shared" ref="E20:E28" si="7">SQRT(C20)/C20</f>
        <v>0.47946330148538413</v>
      </c>
      <c r="F20" s="1">
        <v>1</v>
      </c>
      <c r="G20" s="1">
        <f t="shared" ref="G20:G28" si="8">C20*D20</f>
        <v>4.3499999999999996</v>
      </c>
      <c r="H20" s="1">
        <v>1</v>
      </c>
      <c r="I20" s="8">
        <f t="shared" ref="I20:I28" si="9">H20/G20</f>
        <v>0.22988505747126439</v>
      </c>
      <c r="J20" s="10">
        <v>0</v>
      </c>
      <c r="K20" s="11">
        <f t="shared" ref="K20:K28" si="10">((1-I20)*(I20^((2*6)/(E20^2))))/(1-I20^((2*7)/(E20^2)))</f>
        <v>3.6092447801447778E-34</v>
      </c>
      <c r="L20" s="1">
        <v>4.3499999999999996</v>
      </c>
      <c r="M20" s="1">
        <v>1</v>
      </c>
      <c r="N20" s="3">
        <f t="shared" ref="N20:N28" si="11">SQRT(L20)/L20</f>
        <v>0.47946330148538413</v>
      </c>
      <c r="O20" s="1">
        <v>1</v>
      </c>
      <c r="P20" s="1">
        <f t="shared" ref="P20:P28" si="12">L20*M20</f>
        <v>4.3499999999999996</v>
      </c>
      <c r="Q20" s="1">
        <v>1</v>
      </c>
      <c r="R20" s="8">
        <f t="shared" si="6"/>
        <v>0.22988505747126439</v>
      </c>
      <c r="S20" s="12">
        <v>0</v>
      </c>
      <c r="T20" s="13">
        <f t="shared" ref="T20:T28" si="13">((1-R20)*(R20^((2*11)/(N20^2))))/(1-R20^((2*12)/(N20^2)))</f>
        <v>6.0692308897062779E-62</v>
      </c>
    </row>
    <row r="21" spans="1:20" x14ac:dyDescent="0.25">
      <c r="A21" s="1">
        <v>3</v>
      </c>
      <c r="B21" s="1">
        <v>0.32</v>
      </c>
      <c r="C21" s="1">
        <v>2.0299999999999998</v>
      </c>
      <c r="D21" s="1">
        <v>1.5</v>
      </c>
      <c r="E21" s="3">
        <f t="shared" si="7"/>
        <v>0.70186240634359642</v>
      </c>
      <c r="F21" s="1">
        <v>1</v>
      </c>
      <c r="G21" s="1">
        <f t="shared" si="8"/>
        <v>3.0449999999999999</v>
      </c>
      <c r="H21" s="1">
        <v>1</v>
      </c>
      <c r="I21" s="8">
        <f t="shared" si="9"/>
        <v>0.32840722495894908</v>
      </c>
      <c r="J21" s="10">
        <v>0</v>
      </c>
      <c r="K21" s="11">
        <f t="shared" si="10"/>
        <v>1.1140879097136075E-12</v>
      </c>
      <c r="L21" s="1">
        <v>2.0299999999999998</v>
      </c>
      <c r="M21" s="1">
        <v>1.5</v>
      </c>
      <c r="N21" s="3">
        <f t="shared" si="11"/>
        <v>0.70186240634359642</v>
      </c>
      <c r="O21" s="1">
        <v>1</v>
      </c>
      <c r="P21" s="1">
        <f t="shared" si="12"/>
        <v>3.0449999999999999</v>
      </c>
      <c r="Q21" s="1">
        <v>1</v>
      </c>
      <c r="R21" s="8">
        <f t="shared" si="6"/>
        <v>0.32840722495894908</v>
      </c>
      <c r="S21" s="12">
        <v>0</v>
      </c>
      <c r="T21" s="13">
        <f t="shared" si="13"/>
        <v>1.698624300259563E-22</v>
      </c>
    </row>
    <row r="22" spans="1:20" x14ac:dyDescent="0.25">
      <c r="A22" s="1">
        <v>4</v>
      </c>
      <c r="B22" s="1">
        <v>0.42</v>
      </c>
      <c r="C22" s="1">
        <v>1.1619999999999999</v>
      </c>
      <c r="D22" s="1">
        <v>2</v>
      </c>
      <c r="E22" s="3">
        <f t="shared" si="7"/>
        <v>0.92767731347413873</v>
      </c>
      <c r="F22" s="1">
        <v>1</v>
      </c>
      <c r="G22" s="1">
        <f t="shared" si="8"/>
        <v>2.3239999999999998</v>
      </c>
      <c r="H22" s="1">
        <v>1</v>
      </c>
      <c r="I22" s="8">
        <f t="shared" si="9"/>
        <v>0.43029259896729777</v>
      </c>
      <c r="J22" s="10">
        <v>2E-3</v>
      </c>
      <c r="K22" s="11">
        <f t="shared" si="10"/>
        <v>4.4550833200340452E-6</v>
      </c>
      <c r="L22" s="1">
        <v>1.1619999999999999</v>
      </c>
      <c r="M22" s="1">
        <v>2</v>
      </c>
      <c r="N22" s="3">
        <f t="shared" si="11"/>
        <v>0.92767731347413873</v>
      </c>
      <c r="O22" s="1">
        <v>1</v>
      </c>
      <c r="P22" s="1">
        <f t="shared" si="12"/>
        <v>2.3239999999999998</v>
      </c>
      <c r="Q22" s="1">
        <v>1</v>
      </c>
      <c r="R22" s="8">
        <f t="shared" si="6"/>
        <v>0.43029259896729777</v>
      </c>
      <c r="S22" s="12">
        <v>0</v>
      </c>
      <c r="T22" s="13">
        <f t="shared" si="13"/>
        <v>2.4728148189393411E-10</v>
      </c>
    </row>
    <row r="23" spans="1:20" x14ac:dyDescent="0.25">
      <c r="A23" s="1">
        <v>5</v>
      </c>
      <c r="B23" s="1">
        <v>0.52</v>
      </c>
      <c r="C23" s="1">
        <v>0.754</v>
      </c>
      <c r="D23" s="1">
        <v>2.5</v>
      </c>
      <c r="E23" s="3">
        <f t="shared" si="7"/>
        <v>1.1516335992621969</v>
      </c>
      <c r="F23" s="1">
        <v>1</v>
      </c>
      <c r="G23" s="1">
        <f t="shared" si="8"/>
        <v>1.885</v>
      </c>
      <c r="H23" s="1">
        <v>1</v>
      </c>
      <c r="I23" s="8">
        <f t="shared" si="9"/>
        <v>0.5305039787798409</v>
      </c>
      <c r="J23" s="10">
        <v>1.9E-2</v>
      </c>
      <c r="K23" s="11">
        <f t="shared" si="10"/>
        <v>1.5175888465242748E-3</v>
      </c>
      <c r="L23" s="1">
        <v>0.754</v>
      </c>
      <c r="M23" s="1">
        <v>2.5</v>
      </c>
      <c r="N23" s="3">
        <f t="shared" si="11"/>
        <v>1.1516335992621969</v>
      </c>
      <c r="O23" s="1">
        <v>1</v>
      </c>
      <c r="P23" s="1">
        <f t="shared" si="12"/>
        <v>1.885</v>
      </c>
      <c r="Q23" s="1">
        <v>1</v>
      </c>
      <c r="R23" s="8">
        <f t="shared" si="6"/>
        <v>0.5305039787798409</v>
      </c>
      <c r="S23" s="12">
        <v>1E-3</v>
      </c>
      <c r="T23" s="13">
        <f t="shared" si="13"/>
        <v>1.2728337823065275E-5</v>
      </c>
    </row>
    <row r="24" spans="1:20" x14ac:dyDescent="0.25">
      <c r="A24" s="1">
        <v>6</v>
      </c>
      <c r="B24" s="1">
        <v>0.62</v>
      </c>
      <c r="C24" s="1">
        <v>0.52800000000000002</v>
      </c>
      <c r="D24" s="1">
        <v>3</v>
      </c>
      <c r="E24" s="3">
        <f t="shared" si="7"/>
        <v>1.3762047064079508</v>
      </c>
      <c r="F24" s="1">
        <v>1</v>
      </c>
      <c r="G24" s="1">
        <f t="shared" si="8"/>
        <v>1.5840000000000001</v>
      </c>
      <c r="H24" s="1">
        <v>1</v>
      </c>
      <c r="I24" s="8">
        <f t="shared" si="9"/>
        <v>0.63131313131313127</v>
      </c>
      <c r="J24" s="10">
        <v>6.3E-2</v>
      </c>
      <c r="K24" s="11">
        <f t="shared" si="10"/>
        <v>2.0689521424893231E-2</v>
      </c>
      <c r="L24" s="1">
        <v>0.52800000000000002</v>
      </c>
      <c r="M24" s="1">
        <v>3</v>
      </c>
      <c r="N24" s="3">
        <f t="shared" si="11"/>
        <v>1.3762047064079508</v>
      </c>
      <c r="O24" s="1">
        <v>1</v>
      </c>
      <c r="P24" s="1">
        <f t="shared" si="12"/>
        <v>1.5840000000000001</v>
      </c>
      <c r="Q24" s="1">
        <v>1</v>
      </c>
      <c r="R24" s="8">
        <f t="shared" si="6"/>
        <v>0.63131313131313127</v>
      </c>
      <c r="S24" s="12">
        <v>1.0999999999999999E-2</v>
      </c>
      <c r="T24" s="13">
        <f t="shared" si="13"/>
        <v>1.7684031697271019E-3</v>
      </c>
    </row>
    <row r="25" spans="1:20" x14ac:dyDescent="0.25">
      <c r="A25" s="1">
        <v>7</v>
      </c>
      <c r="B25" s="1">
        <v>0.72</v>
      </c>
      <c r="C25" s="1">
        <v>0.39200000000000002</v>
      </c>
      <c r="D25" s="1">
        <v>3.5</v>
      </c>
      <c r="E25" s="3">
        <f t="shared" si="7"/>
        <v>1.5971914124998499</v>
      </c>
      <c r="F25" s="1">
        <v>1</v>
      </c>
      <c r="G25" s="1">
        <f t="shared" si="8"/>
        <v>1.3720000000000001</v>
      </c>
      <c r="H25" s="1">
        <v>1</v>
      </c>
      <c r="I25" s="8">
        <f t="shared" si="9"/>
        <v>0.7288629737609329</v>
      </c>
      <c r="J25" s="10">
        <v>0.123</v>
      </c>
      <c r="K25" s="11">
        <f t="shared" si="10"/>
        <v>7.4352395130884874E-2</v>
      </c>
      <c r="L25" s="1">
        <v>0.39200000000000002</v>
      </c>
      <c r="M25" s="1">
        <v>3.5</v>
      </c>
      <c r="N25" s="3">
        <f t="shared" si="11"/>
        <v>1.5971914124998499</v>
      </c>
      <c r="O25" s="1">
        <v>1</v>
      </c>
      <c r="P25" s="1">
        <f t="shared" si="12"/>
        <v>1.3720000000000001</v>
      </c>
      <c r="Q25" s="1">
        <v>1</v>
      </c>
      <c r="R25" s="8">
        <f t="shared" si="6"/>
        <v>0.7288629737609329</v>
      </c>
      <c r="S25" s="12">
        <v>4.1000000000000002E-2</v>
      </c>
      <c r="T25" s="13">
        <f t="shared" si="13"/>
        <v>1.8680635067013795E-2</v>
      </c>
    </row>
    <row r="26" spans="1:20" x14ac:dyDescent="0.25">
      <c r="A26" s="1">
        <v>8</v>
      </c>
      <c r="B26" s="1">
        <v>0.82</v>
      </c>
      <c r="C26" s="1">
        <v>0.29699999999999999</v>
      </c>
      <c r="D26" s="1">
        <v>4</v>
      </c>
      <c r="E26" s="3">
        <f t="shared" si="7"/>
        <v>1.8349396085439345</v>
      </c>
      <c r="F26" s="1">
        <v>1</v>
      </c>
      <c r="G26" s="1">
        <f t="shared" si="8"/>
        <v>1.1879999999999999</v>
      </c>
      <c r="H26" s="1">
        <v>1</v>
      </c>
      <c r="I26" s="8">
        <f t="shared" si="9"/>
        <v>0.84175084175084181</v>
      </c>
      <c r="J26" s="10">
        <v>0.20100000000000001</v>
      </c>
      <c r="K26" s="11">
        <f t="shared" si="10"/>
        <v>0.16745436179617362</v>
      </c>
      <c r="L26" s="1">
        <v>0.29699999999999999</v>
      </c>
      <c r="M26" s="1">
        <v>4</v>
      </c>
      <c r="N26" s="3">
        <f t="shared" si="11"/>
        <v>1.8349396085439345</v>
      </c>
      <c r="O26" s="1">
        <v>1</v>
      </c>
      <c r="P26" s="1">
        <f t="shared" si="12"/>
        <v>1.1879999999999999</v>
      </c>
      <c r="Q26" s="1">
        <v>1</v>
      </c>
      <c r="R26" s="8">
        <f t="shared" si="6"/>
        <v>0.84175084175084181</v>
      </c>
      <c r="S26" s="12">
        <v>9.9000000000000005E-2</v>
      </c>
      <c r="T26" s="13">
        <f t="shared" si="13"/>
        <v>7.2611499940938615E-2</v>
      </c>
    </row>
    <row r="27" spans="1:20" x14ac:dyDescent="0.25">
      <c r="A27" s="1">
        <v>9</v>
      </c>
      <c r="B27" s="1">
        <v>0.92</v>
      </c>
      <c r="C27" s="1">
        <v>0.23699999999999999</v>
      </c>
      <c r="D27" s="1">
        <v>4.5</v>
      </c>
      <c r="E27" s="3">
        <f t="shared" si="7"/>
        <v>2.0541200750444029</v>
      </c>
      <c r="F27" s="1">
        <v>1</v>
      </c>
      <c r="G27" s="1">
        <f t="shared" si="8"/>
        <v>1.0665</v>
      </c>
      <c r="H27" s="1">
        <v>1</v>
      </c>
      <c r="I27" s="8">
        <f t="shared" si="9"/>
        <v>0.93764650726676046</v>
      </c>
      <c r="J27" s="10">
        <v>0.25900000000000001</v>
      </c>
      <c r="K27" s="11">
        <f t="shared" si="10"/>
        <v>0.26993495079278429</v>
      </c>
      <c r="L27" s="1">
        <v>0.23699999999999999</v>
      </c>
      <c r="M27" s="1">
        <v>4.5</v>
      </c>
      <c r="N27" s="3">
        <f t="shared" si="11"/>
        <v>2.0541200750444029</v>
      </c>
      <c r="O27" s="1">
        <v>1</v>
      </c>
      <c r="P27" s="1">
        <f t="shared" si="12"/>
        <v>1.0665</v>
      </c>
      <c r="Q27" s="1">
        <v>1</v>
      </c>
      <c r="R27" s="8">
        <f t="shared" si="6"/>
        <v>0.93764650726676046</v>
      </c>
      <c r="S27" s="12">
        <v>0.158</v>
      </c>
      <c r="T27" s="13">
        <f t="shared" si="13"/>
        <v>0.14535959628013492</v>
      </c>
    </row>
    <row r="28" spans="1:20" x14ac:dyDescent="0.25">
      <c r="A28" s="1">
        <v>10</v>
      </c>
      <c r="B28" s="1">
        <v>1.02</v>
      </c>
      <c r="C28" s="1">
        <v>0.19900000000000001</v>
      </c>
      <c r="D28" s="1">
        <v>5</v>
      </c>
      <c r="E28" s="3">
        <f t="shared" si="7"/>
        <v>2.2416791983111017</v>
      </c>
      <c r="F28" s="1">
        <v>1</v>
      </c>
      <c r="G28" s="1">
        <f t="shared" si="8"/>
        <v>0.99500000000000011</v>
      </c>
      <c r="H28" s="1">
        <v>1</v>
      </c>
      <c r="I28" s="8">
        <f t="shared" si="9"/>
        <v>1.0050251256281406</v>
      </c>
      <c r="J28" s="10">
        <v>0.311</v>
      </c>
      <c r="K28" s="11">
        <f t="shared" si="10"/>
        <v>0.3616348766380022</v>
      </c>
      <c r="L28" s="1">
        <v>0.19900000000000001</v>
      </c>
      <c r="M28" s="1">
        <v>5</v>
      </c>
      <c r="N28" s="3">
        <f t="shared" si="11"/>
        <v>2.2416791983111017</v>
      </c>
      <c r="O28" s="1">
        <v>1</v>
      </c>
      <c r="P28" s="1">
        <f t="shared" si="12"/>
        <v>0.99500000000000011</v>
      </c>
      <c r="Q28" s="1">
        <v>1</v>
      </c>
      <c r="R28" s="8">
        <f t="shared" si="6"/>
        <v>1.0050251256281406</v>
      </c>
      <c r="S28" s="12">
        <v>0.20200000000000001</v>
      </c>
      <c r="T28" s="13">
        <f t="shared" si="13"/>
        <v>0.21200509323891106</v>
      </c>
    </row>
  </sheetData>
  <mergeCells count="14">
    <mergeCell ref="A1:A3"/>
    <mergeCell ref="B1:B3"/>
    <mergeCell ref="C2:D2"/>
    <mergeCell ref="E2:F2"/>
    <mergeCell ref="G2:H2"/>
    <mergeCell ref="C1:N1"/>
    <mergeCell ref="I2:J2"/>
    <mergeCell ref="K2:L2"/>
    <mergeCell ref="M2:N2"/>
    <mergeCell ref="A16:A18"/>
    <mergeCell ref="B16:B18"/>
    <mergeCell ref="C16:T16"/>
    <mergeCell ref="C17:K17"/>
    <mergeCell ref="L17:T17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Varezhka</dc:creator>
  <cp:lastModifiedBy>Dmitry</cp:lastModifiedBy>
  <dcterms:created xsi:type="dcterms:W3CDTF">2015-06-05T18:19:34Z</dcterms:created>
  <dcterms:modified xsi:type="dcterms:W3CDTF">2025-10-31T02:50:38Z</dcterms:modified>
</cp:coreProperties>
</file>