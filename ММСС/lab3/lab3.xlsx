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https://d.docs.live.net/a0d33d3ece9506a1/Labs/MMVSS/"/>
    </mc:Choice>
  </mc:AlternateContent>
  <xr:revisionPtr revIDLastSave="2" documentId="11_AD4DF75460589B3ACB728403E71F5A425ADEDD8A" xr6:coauthVersionLast="47" xr6:coauthVersionMax="47" xr10:uidLastSave="{48D8C06A-D102-4C49-82E3-8BB0F22CF8B1}"/>
  <bookViews>
    <workbookView xWindow="-110" yWindow="-110" windowWidth="19420" windowHeight="1150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X5" i="1" l="1"/>
  <c r="X6" i="1"/>
  <c r="X7" i="1"/>
  <c r="X8" i="1"/>
  <c r="X9" i="1"/>
  <c r="X10" i="1"/>
  <c r="X11" i="1"/>
  <c r="X12" i="1"/>
  <c r="X13" i="1"/>
  <c r="X4" i="1"/>
  <c r="R4" i="1"/>
  <c r="AA13" i="1"/>
  <c r="AA12" i="1"/>
  <c r="AA11" i="1"/>
  <c r="AA10" i="1"/>
  <c r="AA9" i="1"/>
  <c r="AA8" i="1"/>
  <c r="AA7" i="1"/>
  <c r="AA6" i="1"/>
  <c r="AA5" i="1"/>
  <c r="AA4" i="1"/>
  <c r="U5" i="1"/>
  <c r="U13" i="1"/>
  <c r="U12" i="1"/>
  <c r="U11" i="1"/>
  <c r="U10" i="1"/>
  <c r="U9" i="1"/>
  <c r="U8" i="1"/>
  <c r="U7" i="1"/>
  <c r="U6" i="1"/>
  <c r="U4" i="1"/>
  <c r="R5" i="1"/>
  <c r="R6" i="1"/>
  <c r="R7" i="1"/>
  <c r="R8" i="1"/>
  <c r="R9" i="1"/>
  <c r="R10" i="1"/>
  <c r="R11" i="1"/>
  <c r="R12" i="1"/>
  <c r="R13" i="1"/>
  <c r="N5" i="1"/>
  <c r="N6" i="1"/>
  <c r="N7" i="1"/>
  <c r="N8" i="1"/>
  <c r="N9" i="1"/>
  <c r="N10" i="1"/>
  <c r="N11" i="1"/>
  <c r="N12" i="1"/>
  <c r="N13" i="1"/>
  <c r="N4" i="1"/>
  <c r="L4" i="1"/>
  <c r="L5" i="1"/>
  <c r="L6" i="1"/>
  <c r="L7" i="1"/>
  <c r="L8" i="1"/>
  <c r="L9" i="1"/>
  <c r="L10" i="1"/>
  <c r="L11" i="1"/>
  <c r="L12" i="1"/>
  <c r="L13" i="1"/>
  <c r="J4" i="1"/>
  <c r="J5" i="1"/>
  <c r="J6" i="1"/>
  <c r="J7" i="1"/>
  <c r="J8" i="1"/>
  <c r="J9" i="1"/>
  <c r="J10" i="1"/>
  <c r="J11" i="1"/>
  <c r="J12" i="1"/>
  <c r="J13" i="1"/>
  <c r="H4" i="1"/>
  <c r="H5" i="1"/>
  <c r="H6" i="1"/>
  <c r="H7" i="1"/>
  <c r="H8" i="1"/>
  <c r="H9" i="1"/>
  <c r="H10" i="1"/>
  <c r="H11" i="1"/>
  <c r="H12" i="1"/>
  <c r="H13" i="1"/>
  <c r="F4" i="1"/>
  <c r="F5" i="1"/>
  <c r="F6" i="1"/>
  <c r="F7" i="1"/>
  <c r="F8" i="1"/>
  <c r="F9" i="1"/>
  <c r="F10" i="1"/>
  <c r="F11" i="1"/>
  <c r="F12" i="1"/>
  <c r="F13" i="1"/>
  <c r="D4" i="1"/>
  <c r="D5" i="1"/>
  <c r="D6" i="1"/>
  <c r="D7" i="1"/>
  <c r="D8" i="1"/>
  <c r="D9" i="1"/>
  <c r="D10" i="1"/>
  <c r="D11" i="1"/>
  <c r="D12" i="1"/>
  <c r="D13" i="1"/>
</calcChain>
</file>

<file path=xl/sharedStrings.xml><?xml version="1.0" encoding="utf-8"?>
<sst xmlns="http://schemas.openxmlformats.org/spreadsheetml/2006/main" count="30" uniqueCount="9">
  <si>
    <t>N</t>
  </si>
  <si>
    <t>a</t>
  </si>
  <si>
    <t>Максимальная длина очереди (K - 1)</t>
  </si>
  <si>
    <t>ИМ</t>
  </si>
  <si>
    <t>АМ</t>
  </si>
  <si>
    <t>Са</t>
  </si>
  <si>
    <t>Cb</t>
  </si>
  <si>
    <t>t</t>
  </si>
  <si>
    <t>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</si>
</sst>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1" formatCode="0.0000"/>
    <numFmt numFmtId="172" formatCode="0.000"/>
    <numFmt numFmtId="174" formatCode="0.000E+00"/>
  </numFmts>
  <fonts count="2" x14ac:knownFonts="1">
    <font>
      <sz val="11"/>
      <color theme="1"/>
      <name val="Calibri"/>
      <family val="2"/>
      <scheme val="minor"/>
    </font>
    <font>
      <sz val="11"/>
      <name val="Segoe UI"/>
      <family val="2"/>
      <charset val="204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8" xfId="0" applyBorder="1"/>
    <xf numFmtId="0" fontId="0" fillId="0" borderId="1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 applyAlignment="1">
      <alignment horizontal="center"/>
    </xf>
    <xf numFmtId="0" fontId="0" fillId="0" borderId="0" xfId="0" applyBorder="1"/>
    <xf numFmtId="0" fontId="0" fillId="0" borderId="13" xfId="0" applyBorder="1"/>
    <xf numFmtId="0" fontId="1" fillId="0" borderId="1" xfId="0" applyFont="1" applyBorder="1"/>
    <xf numFmtId="0" fontId="0" fillId="0" borderId="1" xfId="0" applyFill="1" applyBorder="1"/>
    <xf numFmtId="171" fontId="0" fillId="0" borderId="11" xfId="0" applyNumberFormat="1" applyBorder="1"/>
    <xf numFmtId="171" fontId="0" fillId="0" borderId="9" xfId="0" applyNumberFormat="1" applyBorder="1"/>
    <xf numFmtId="171" fontId="0" fillId="0" borderId="10" xfId="0" applyNumberFormat="1" applyBorder="1"/>
    <xf numFmtId="172" fontId="0" fillId="0" borderId="11" xfId="0" applyNumberFormat="1" applyBorder="1"/>
    <xf numFmtId="172" fontId="0" fillId="0" borderId="9" xfId="0" applyNumberFormat="1" applyBorder="1"/>
    <xf numFmtId="172" fontId="0" fillId="0" borderId="10" xfId="0" applyNumberFormat="1" applyBorder="1"/>
    <xf numFmtId="172" fontId="0" fillId="0" borderId="4" xfId="0" applyNumberFormat="1" applyBorder="1"/>
    <xf numFmtId="174" fontId="0" fillId="0" borderId="4" xfId="0" applyNumberFormat="1" applyBorder="1"/>
    <xf numFmtId="11" fontId="0" fillId="0" borderId="4" xfId="0" applyNumberFormat="1" applyBorder="1"/>
    <xf numFmtId="172" fontId="0" fillId="0" borderId="3" xfId="0" applyNumberFormat="1" applyBorder="1"/>
    <xf numFmtId="174" fontId="0" fillId="0" borderId="3" xfId="0" applyNumberFormat="1" applyBorder="1"/>
    <xf numFmtId="172" fontId="0" fillId="0" borderId="5" xfId="0" applyNumberFormat="1" applyBorder="1"/>
    <xf numFmtId="174" fontId="0" fillId="0" borderId="5" xfId="0" applyNumberFormat="1" applyBorder="1"/>
    <xf numFmtId="11" fontId="0" fillId="0" borderId="9" xfId="0" applyNumberFormat="1" applyBorder="1"/>
    <xf numFmtId="0" fontId="0" fillId="0" borderId="9" xfId="0" applyFill="1" applyBorder="1"/>
    <xf numFmtId="11" fontId="0" fillId="0" borderId="9" xfId="0" applyNumberFormat="1" applyFill="1" applyBorder="1"/>
    <xf numFmtId="11" fontId="0" fillId="0" borderId="3" xfId="0" applyNumberForma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3"/>
  <sheetViews>
    <sheetView tabSelected="1" topLeftCell="L1" workbookViewId="0">
      <selection activeCell="I4" sqref="I4"/>
    </sheetView>
  </sheetViews>
  <sheetFormatPr defaultRowHeight="14.5" x14ac:dyDescent="0.35"/>
  <cols>
    <col min="4" max="4" width="9.26953125" bestFit="1" customWidth="1"/>
    <col min="7" max="7" width="11" customWidth="1"/>
    <col min="8" max="8" width="11.81640625" bestFit="1" customWidth="1"/>
    <col min="9" max="9" width="10.7265625" customWidth="1"/>
    <col min="10" max="10" width="11.81640625" bestFit="1" customWidth="1"/>
    <col min="11" max="11" width="11.08984375" customWidth="1"/>
    <col min="12" max="12" width="11.81640625" bestFit="1" customWidth="1"/>
    <col min="13" max="13" width="11" customWidth="1"/>
    <col min="14" max="14" width="11.81640625" bestFit="1" customWidth="1"/>
    <col min="24" max="24" width="9.26953125" bestFit="1" customWidth="1"/>
  </cols>
  <sheetData>
    <row r="1" spans="1:29" ht="15" thickBot="1" x14ac:dyDescent="0.4">
      <c r="A1" s="13" t="s">
        <v>0</v>
      </c>
      <c r="B1" s="13" t="s">
        <v>1</v>
      </c>
      <c r="C1" s="5" t="s">
        <v>2</v>
      </c>
      <c r="D1" s="5"/>
      <c r="E1" s="5"/>
      <c r="F1" s="5"/>
      <c r="G1" s="5"/>
      <c r="H1" s="5"/>
      <c r="I1" s="5"/>
      <c r="J1" s="5"/>
      <c r="K1" s="5"/>
      <c r="L1" s="5"/>
      <c r="M1" s="5"/>
      <c r="N1" s="6"/>
      <c r="P1" s="13" t="s">
        <v>0</v>
      </c>
      <c r="Q1" s="1" t="s">
        <v>1</v>
      </c>
      <c r="R1" s="5" t="s">
        <v>2</v>
      </c>
      <c r="S1" s="5"/>
      <c r="T1" s="5"/>
      <c r="U1" s="5"/>
      <c r="V1" s="5"/>
      <c r="W1" s="5"/>
      <c r="X1" s="5"/>
      <c r="Y1" s="5"/>
      <c r="Z1" s="5"/>
      <c r="AA1" s="5"/>
      <c r="AB1" s="5"/>
      <c r="AC1" s="6"/>
    </row>
    <row r="2" spans="1:29" ht="15" thickBot="1" x14ac:dyDescent="0.4">
      <c r="A2" s="11"/>
      <c r="B2" s="11"/>
      <c r="C2" s="14">
        <v>0</v>
      </c>
      <c r="D2" s="8"/>
      <c r="E2" s="7">
        <v>1</v>
      </c>
      <c r="F2" s="8"/>
      <c r="G2" s="7">
        <v>5</v>
      </c>
      <c r="H2" s="8"/>
      <c r="I2" s="7">
        <v>10</v>
      </c>
      <c r="J2" s="8"/>
      <c r="K2" s="7">
        <v>20</v>
      </c>
      <c r="L2" s="8"/>
      <c r="M2" s="7">
        <v>50</v>
      </c>
      <c r="N2" s="8"/>
      <c r="P2" s="11"/>
      <c r="Q2" s="2"/>
      <c r="R2" s="4">
        <v>5</v>
      </c>
      <c r="S2" s="5"/>
      <c r="T2" s="5"/>
      <c r="U2" s="5"/>
      <c r="V2" s="5"/>
      <c r="W2" s="6"/>
      <c r="X2" s="4">
        <v>10</v>
      </c>
      <c r="Y2" s="5"/>
      <c r="Z2" s="5"/>
      <c r="AA2" s="5"/>
      <c r="AB2" s="5"/>
      <c r="AC2" s="6"/>
    </row>
    <row r="3" spans="1:29" ht="17" thickBot="1" x14ac:dyDescent="0.5">
      <c r="A3" s="11"/>
      <c r="B3" s="11"/>
      <c r="C3" s="9" t="s">
        <v>3</v>
      </c>
      <c r="D3" s="9" t="s">
        <v>4</v>
      </c>
      <c r="E3" s="10" t="s">
        <v>3</v>
      </c>
      <c r="F3" s="9" t="s">
        <v>4</v>
      </c>
      <c r="G3" s="10" t="s">
        <v>3</v>
      </c>
      <c r="H3" s="9" t="s">
        <v>4</v>
      </c>
      <c r="I3" s="10" t="s">
        <v>3</v>
      </c>
      <c r="J3" s="9" t="s">
        <v>4</v>
      </c>
      <c r="K3" s="10" t="s">
        <v>3</v>
      </c>
      <c r="L3" s="9" t="s">
        <v>4</v>
      </c>
      <c r="M3" s="10" t="s">
        <v>3</v>
      </c>
      <c r="N3" s="9" t="s">
        <v>4</v>
      </c>
      <c r="P3" s="12"/>
      <c r="Q3" s="3"/>
      <c r="R3" s="13" t="s">
        <v>5</v>
      </c>
      <c r="S3" s="10" t="s">
        <v>6</v>
      </c>
      <c r="T3" s="17" t="s">
        <v>8</v>
      </c>
      <c r="U3" s="10" t="s">
        <v>7</v>
      </c>
      <c r="V3" s="18" t="s">
        <v>3</v>
      </c>
      <c r="W3" s="9" t="s">
        <v>4</v>
      </c>
      <c r="X3" s="13" t="s">
        <v>5</v>
      </c>
      <c r="Y3" s="10" t="s">
        <v>6</v>
      </c>
      <c r="Z3" s="17" t="s">
        <v>8</v>
      </c>
      <c r="AA3" s="10" t="s">
        <v>7</v>
      </c>
      <c r="AB3" s="18" t="s">
        <v>3</v>
      </c>
      <c r="AC3" s="9" t="s">
        <v>4</v>
      </c>
    </row>
    <row r="4" spans="1:29" x14ac:dyDescent="0.35">
      <c r="A4" s="13">
        <v>1</v>
      </c>
      <c r="B4" s="13">
        <v>0.11</v>
      </c>
      <c r="C4" s="13">
        <v>9.8000000000000004E-2</v>
      </c>
      <c r="D4" s="22">
        <f>(1-B4)/(1-POWER(B4,$C$2+2))*POWER(B4,$C$2+1)</f>
        <v>9.90990990990991E-2</v>
      </c>
      <c r="E4" s="13">
        <v>1.0999999999999999E-2</v>
      </c>
      <c r="F4" s="28">
        <f>(1-B4)/(1-POWER(B4,$E$2+2))*POWER(B4,$E$2+1)</f>
        <v>1.0783352642366991E-2</v>
      </c>
      <c r="G4" s="13">
        <v>0</v>
      </c>
      <c r="H4" s="29">
        <f>(1-B4)/(1-POWER(B4,$G$2+2))*POWER(B4,$G$2+1)</f>
        <v>1.5766895972521979E-6</v>
      </c>
      <c r="I4" s="13">
        <v>0</v>
      </c>
      <c r="J4" s="29">
        <f>(1-B4)/(1-POWER(B4,$I$2+2))*POWER(B4,$I$2+1)</f>
        <v>2.5392738684458692E-11</v>
      </c>
      <c r="K4" s="13">
        <v>0</v>
      </c>
      <c r="L4" s="29">
        <f>(1-B4)/(1-POWER(B4,$K$2+2))*POWER(B4,$K$2+1)</f>
        <v>6.5862224503897629E-21</v>
      </c>
      <c r="M4" s="13">
        <v>0</v>
      </c>
      <c r="N4" s="29">
        <f>(1-B4)/(1-POWER(B4,$M$2+2))*POWER(B4,$M$2+1)</f>
        <v>1.1492564496922174E-49</v>
      </c>
      <c r="P4" s="11">
        <v>1</v>
      </c>
      <c r="Q4" s="15">
        <v>0.11</v>
      </c>
      <c r="R4" s="19">
        <f>SQRT(2)/2</f>
        <v>0.70710678118654757</v>
      </c>
      <c r="S4" s="1">
        <v>1</v>
      </c>
      <c r="T4" s="13">
        <v>1</v>
      </c>
      <c r="U4" s="13">
        <f>2*4.501</f>
        <v>9.0020000000000007</v>
      </c>
      <c r="V4" s="13">
        <v>0</v>
      </c>
      <c r="W4" s="34">
        <v>2.0599999999999999E-8</v>
      </c>
      <c r="X4" s="19">
        <f>SQRT(2)/2</f>
        <v>0.70710678118654757</v>
      </c>
      <c r="Y4" s="1">
        <v>1</v>
      </c>
      <c r="Z4" s="13">
        <v>1</v>
      </c>
      <c r="AA4" s="13">
        <f>2*4.634</f>
        <v>9.2680000000000007</v>
      </c>
      <c r="AB4" s="13">
        <v>0</v>
      </c>
      <c r="AC4" s="35">
        <v>5.8599999999999998E-15</v>
      </c>
    </row>
    <row r="5" spans="1:29" x14ac:dyDescent="0.35">
      <c r="A5" s="11">
        <v>2</v>
      </c>
      <c r="B5" s="11">
        <v>0.21</v>
      </c>
      <c r="C5" s="11">
        <v>0.17199999999999999</v>
      </c>
      <c r="D5" s="23">
        <f t="shared" ref="D5:D13" si="0">(1-B5)/(1-POWER(B5,$C$2+2))*POWER(B5,$C$2+1)</f>
        <v>0.17355371900826447</v>
      </c>
      <c r="E5" s="11">
        <v>3.5000000000000003E-2</v>
      </c>
      <c r="F5" s="25">
        <f t="shared" ref="F5:F13" si="1">(1-B5)/(1-POWER(B5,$E$2+2))*POWER(B5,$E$2+1)</f>
        <v>3.516465991547723E-2</v>
      </c>
      <c r="G5" s="32">
        <v>2.719E-4</v>
      </c>
      <c r="H5" s="26">
        <f t="shared" ref="H5:H13" si="2">(1-B5)/(1-POWER(B5,$G$2+2))*POWER(B5,$G$2+1)</f>
        <v>6.7756455943763776E-5</v>
      </c>
      <c r="I5" s="11">
        <v>0</v>
      </c>
      <c r="J5" s="26">
        <f t="shared" ref="J5:J13" si="3">(1-B5)/(1-POWER(B5,$I$2+2))*POWER(B5,$I$2+1)</f>
        <v>2.7671922746385332E-8</v>
      </c>
      <c r="K5" s="11">
        <v>0</v>
      </c>
      <c r="L5" s="26">
        <f t="shared" ref="L5:L13" si="4">(1-B5)/(1-POWER(B5,$K$2+2))*POWER(B5,$K$2+1)</f>
        <v>4.6156437445249262E-15</v>
      </c>
      <c r="M5" s="11">
        <v>0</v>
      </c>
      <c r="N5" s="26">
        <f t="shared" ref="N5:N13" si="5">(1-B5)/(1-POWER(B5,$M$2+2))*POWER(B5,$M$2+1)</f>
        <v>2.1419588477491363E-35</v>
      </c>
      <c r="P5" s="11">
        <v>2</v>
      </c>
      <c r="Q5" s="15">
        <v>0.21</v>
      </c>
      <c r="R5" s="20">
        <f t="shared" ref="R5:R13" si="6">SQRT(2)/2</f>
        <v>0.70710678118654757</v>
      </c>
      <c r="S5" s="2">
        <v>1</v>
      </c>
      <c r="T5" s="11">
        <v>1</v>
      </c>
      <c r="U5" s="11">
        <f>2*2.393</f>
        <v>4.7859999999999996</v>
      </c>
      <c r="V5" s="32">
        <v>8.6509999999999997E-5</v>
      </c>
      <c r="W5" s="34">
        <v>2.8700000000000001E-6</v>
      </c>
      <c r="X5" s="20">
        <f t="shared" ref="X5:X13" si="7">SQRT(2)/2</f>
        <v>0.70710678118654757</v>
      </c>
      <c r="Y5" s="2">
        <v>1</v>
      </c>
      <c r="Z5" s="11">
        <v>1</v>
      </c>
      <c r="AA5" s="11">
        <f>2*2.356</f>
        <v>4.7119999999999997</v>
      </c>
      <c r="AB5" s="11">
        <v>0</v>
      </c>
      <c r="AC5" s="27">
        <v>1.05E-10</v>
      </c>
    </row>
    <row r="6" spans="1:29" x14ac:dyDescent="0.35">
      <c r="A6" s="11">
        <v>3</v>
      </c>
      <c r="B6" s="11">
        <v>0.31</v>
      </c>
      <c r="C6" s="11">
        <v>0.23699999999999999</v>
      </c>
      <c r="D6" s="23">
        <f t="shared" si="0"/>
        <v>0.23664122137404578</v>
      </c>
      <c r="E6" s="11">
        <v>6.7000000000000004E-2</v>
      </c>
      <c r="F6" s="25">
        <f t="shared" si="1"/>
        <v>6.8345067918355734E-2</v>
      </c>
      <c r="G6" s="32">
        <v>9.7579999999999997E-4</v>
      </c>
      <c r="H6" s="26">
        <f t="shared" si="2"/>
        <v>6.1254606732575548E-4</v>
      </c>
      <c r="I6" s="32">
        <v>1.153E-4</v>
      </c>
      <c r="J6" s="26">
        <f t="shared" si="3"/>
        <v>1.7531862867715246E-6</v>
      </c>
      <c r="K6" s="11">
        <v>0</v>
      </c>
      <c r="L6" s="26">
        <f t="shared" si="4"/>
        <v>1.4369599411532942E-11</v>
      </c>
      <c r="M6" s="11">
        <v>0</v>
      </c>
      <c r="N6" s="26">
        <f t="shared" si="5"/>
        <v>7.9121675658906625E-27</v>
      </c>
      <c r="P6" s="11">
        <v>3</v>
      </c>
      <c r="Q6" s="15">
        <v>0.31</v>
      </c>
      <c r="R6" s="20">
        <f t="shared" si="6"/>
        <v>0.70710678118654757</v>
      </c>
      <c r="S6" s="2">
        <v>1</v>
      </c>
      <c r="T6" s="11">
        <v>1</v>
      </c>
      <c r="U6" s="11">
        <f>2*1.596</f>
        <v>3.1920000000000002</v>
      </c>
      <c r="V6" s="32">
        <v>6.5820000000000003E-5</v>
      </c>
      <c r="W6" s="34">
        <v>6.3700000000000003E-5</v>
      </c>
      <c r="X6" s="20">
        <f t="shared" si="7"/>
        <v>0.70710678118654757</v>
      </c>
      <c r="Y6" s="2">
        <v>1</v>
      </c>
      <c r="Z6" s="11">
        <v>1</v>
      </c>
      <c r="AA6" s="11">
        <f>2*1.671</f>
        <v>3.3420000000000001</v>
      </c>
      <c r="AB6" s="11">
        <v>0</v>
      </c>
      <c r="AC6" s="27">
        <v>1.4500000000000001E-8</v>
      </c>
    </row>
    <row r="7" spans="1:29" x14ac:dyDescent="0.35">
      <c r="A7" s="11">
        <v>4</v>
      </c>
      <c r="B7" s="11">
        <v>0.41</v>
      </c>
      <c r="C7" s="11">
        <v>0.28799999999999998</v>
      </c>
      <c r="D7" s="23">
        <f t="shared" si="0"/>
        <v>0.29078014184397161</v>
      </c>
      <c r="E7" s="11">
        <v>0.108</v>
      </c>
      <c r="F7" s="25">
        <f t="shared" si="1"/>
        <v>0.10652049933464292</v>
      </c>
      <c r="G7" s="11">
        <v>2E-3</v>
      </c>
      <c r="H7" s="26">
        <f t="shared" si="2"/>
        <v>2.8080302611354323E-3</v>
      </c>
      <c r="I7" s="32">
        <v>5.0009999999999997E-5</v>
      </c>
      <c r="J7" s="26">
        <f t="shared" si="3"/>
        <v>3.2470145511071921E-5</v>
      </c>
      <c r="K7" s="11">
        <v>0</v>
      </c>
      <c r="L7" s="26">
        <f t="shared" si="4"/>
        <v>4.3582586829153271E-9</v>
      </c>
      <c r="M7" s="11">
        <v>0</v>
      </c>
      <c r="N7" s="26">
        <f t="shared" si="5"/>
        <v>1.0539711041496546E-20</v>
      </c>
      <c r="P7" s="11">
        <v>4</v>
      </c>
      <c r="Q7" s="15">
        <v>0.41</v>
      </c>
      <c r="R7" s="20">
        <f t="shared" si="6"/>
        <v>0.70710678118654757</v>
      </c>
      <c r="S7" s="2">
        <v>1</v>
      </c>
      <c r="T7" s="11">
        <v>1</v>
      </c>
      <c r="U7" s="11">
        <f>2*1.211</f>
        <v>2.4220000000000002</v>
      </c>
      <c r="V7" s="32">
        <v>4.194E-4</v>
      </c>
      <c r="W7" s="34">
        <v>4.95E-4</v>
      </c>
      <c r="X7" s="20">
        <f t="shared" si="7"/>
        <v>0.70710678118654757</v>
      </c>
      <c r="Y7" s="2">
        <v>1</v>
      </c>
      <c r="Z7" s="11">
        <v>1</v>
      </c>
      <c r="AA7" s="11">
        <f>2*1.226</f>
        <v>2.452</v>
      </c>
      <c r="AB7" s="11">
        <v>0</v>
      </c>
      <c r="AC7" s="27">
        <v>1.15E-6</v>
      </c>
    </row>
    <row r="8" spans="1:29" x14ac:dyDescent="0.35">
      <c r="A8" s="11">
        <v>5</v>
      </c>
      <c r="B8" s="11">
        <v>0.51</v>
      </c>
      <c r="C8" s="11">
        <v>0.33700000000000002</v>
      </c>
      <c r="D8" s="23">
        <f t="shared" si="0"/>
        <v>0.33774834437086088</v>
      </c>
      <c r="E8" s="11">
        <v>0.14699999999999999</v>
      </c>
      <c r="F8" s="25">
        <f t="shared" si="1"/>
        <v>0.14694085079938984</v>
      </c>
      <c r="G8" s="11">
        <v>8.9999999999999993E-3</v>
      </c>
      <c r="H8" s="26">
        <f t="shared" si="2"/>
        <v>8.7002580673873273E-3</v>
      </c>
      <c r="I8" s="32">
        <v>5.0790000000000004E-4</v>
      </c>
      <c r="J8" s="26">
        <f t="shared" si="3"/>
        <v>2.9757915638429594E-4</v>
      </c>
      <c r="K8" s="11">
        <v>0</v>
      </c>
      <c r="L8" s="26">
        <f t="shared" si="4"/>
        <v>3.5413588631316272E-7</v>
      </c>
      <c r="M8" s="11">
        <v>0</v>
      </c>
      <c r="N8" s="26">
        <f t="shared" si="5"/>
        <v>5.9741353949637792E-16</v>
      </c>
      <c r="P8" s="11">
        <v>5</v>
      </c>
      <c r="Q8" s="15">
        <v>0.51</v>
      </c>
      <c r="R8" s="20">
        <f t="shared" si="6"/>
        <v>0.70710678118654757</v>
      </c>
      <c r="S8" s="2">
        <v>1</v>
      </c>
      <c r="T8" s="11">
        <v>1</v>
      </c>
      <c r="U8" s="11">
        <f>2*0.966</f>
        <v>1.9319999999999999</v>
      </c>
      <c r="V8" s="11">
        <v>2E-3</v>
      </c>
      <c r="W8" s="33">
        <v>2E-3</v>
      </c>
      <c r="X8" s="20">
        <f t="shared" si="7"/>
        <v>0.70710678118654757</v>
      </c>
      <c r="Y8" s="2">
        <v>1</v>
      </c>
      <c r="Z8" s="11">
        <v>1</v>
      </c>
      <c r="AA8" s="11">
        <f>2*0.982</f>
        <v>1.964</v>
      </c>
      <c r="AB8" s="32">
        <v>2.652E-5</v>
      </c>
      <c r="AC8" s="27">
        <v>2.4600000000000002E-5</v>
      </c>
    </row>
    <row r="9" spans="1:29" x14ac:dyDescent="0.35">
      <c r="A9" s="11">
        <v>6</v>
      </c>
      <c r="B9" s="11">
        <v>0.61</v>
      </c>
      <c r="C9" s="11">
        <v>0.378</v>
      </c>
      <c r="D9" s="23">
        <f t="shared" si="0"/>
        <v>0.3788819875776398</v>
      </c>
      <c r="E9" s="11">
        <v>0.188</v>
      </c>
      <c r="F9" s="25">
        <f t="shared" si="1"/>
        <v>0.18773018515715656</v>
      </c>
      <c r="G9" s="11">
        <v>2.1999999999999999E-2</v>
      </c>
      <c r="H9" s="26">
        <f t="shared" si="2"/>
        <v>2.0744905017052784E-2</v>
      </c>
      <c r="I9" s="11">
        <v>1E-3</v>
      </c>
      <c r="J9" s="26">
        <f t="shared" si="3"/>
        <v>1.7015593190793017E-3</v>
      </c>
      <c r="K9" s="11">
        <v>0</v>
      </c>
      <c r="L9" s="26">
        <f t="shared" si="4"/>
        <v>1.2105963649555668E-5</v>
      </c>
      <c r="M9" s="11">
        <v>0</v>
      </c>
      <c r="N9" s="26">
        <f t="shared" si="5"/>
        <v>4.3942644808894355E-12</v>
      </c>
      <c r="P9" s="11">
        <v>6</v>
      </c>
      <c r="Q9" s="15">
        <v>0.61</v>
      </c>
      <c r="R9" s="20">
        <f t="shared" si="6"/>
        <v>0.70710678118654757</v>
      </c>
      <c r="S9" s="2">
        <v>1</v>
      </c>
      <c r="T9" s="11">
        <v>1</v>
      </c>
      <c r="U9" s="11">
        <f>2*0.809</f>
        <v>1.6180000000000001</v>
      </c>
      <c r="V9" s="11">
        <v>8.0000000000000002E-3</v>
      </c>
      <c r="W9" s="33">
        <v>8.0000000000000002E-3</v>
      </c>
      <c r="X9" s="20">
        <f t="shared" si="7"/>
        <v>0.70710678118654757</v>
      </c>
      <c r="Y9" s="2">
        <v>1</v>
      </c>
      <c r="Z9" s="11">
        <v>1</v>
      </c>
      <c r="AA9" s="11">
        <f>2*0.825</f>
        <v>1.65</v>
      </c>
      <c r="AB9" s="32">
        <v>3.0949999999999999E-4</v>
      </c>
      <c r="AC9" s="27">
        <v>2.5500000000000002E-4</v>
      </c>
    </row>
    <row r="10" spans="1:29" x14ac:dyDescent="0.35">
      <c r="A10" s="11">
        <v>7</v>
      </c>
      <c r="B10" s="11">
        <v>0.71</v>
      </c>
      <c r="C10" s="11">
        <v>0.41399999999999998</v>
      </c>
      <c r="D10" s="23">
        <f t="shared" si="0"/>
        <v>0.41520467836257313</v>
      </c>
      <c r="E10" s="11">
        <v>0.22800000000000001</v>
      </c>
      <c r="F10" s="25">
        <f t="shared" si="1"/>
        <v>0.22767716001987265</v>
      </c>
      <c r="G10" s="11">
        <v>4.1000000000000002E-2</v>
      </c>
      <c r="H10" s="26">
        <f t="shared" si="2"/>
        <v>4.0865883549725694E-2</v>
      </c>
      <c r="I10" s="11">
        <v>7.0000000000000001E-3</v>
      </c>
      <c r="J10" s="26">
        <f t="shared" si="3"/>
        <v>6.8143680899635933E-3</v>
      </c>
      <c r="K10" s="32">
        <v>1.161E-4</v>
      </c>
      <c r="L10" s="26">
        <f t="shared" si="4"/>
        <v>2.1830082264021096E-4</v>
      </c>
      <c r="M10" s="11">
        <v>0</v>
      </c>
      <c r="N10" s="26">
        <f t="shared" si="5"/>
        <v>7.5261659570092951E-9</v>
      </c>
      <c r="P10" s="11">
        <v>7</v>
      </c>
      <c r="Q10" s="15">
        <v>0.71</v>
      </c>
      <c r="R10" s="20">
        <f t="shared" si="6"/>
        <v>0.70710678118654757</v>
      </c>
      <c r="S10" s="2">
        <v>1</v>
      </c>
      <c r="T10" s="11">
        <v>1</v>
      </c>
      <c r="U10" s="11">
        <f>2*0.704</f>
        <v>1.4079999999999999</v>
      </c>
      <c r="V10" s="11">
        <v>1.7999999999999999E-2</v>
      </c>
      <c r="W10" s="33">
        <v>1.9E-2</v>
      </c>
      <c r="X10" s="20">
        <f t="shared" si="7"/>
        <v>0.70710678118654757</v>
      </c>
      <c r="Y10" s="2">
        <v>1</v>
      </c>
      <c r="Z10" s="11">
        <v>1</v>
      </c>
      <c r="AA10" s="11">
        <f>2*0.703</f>
        <v>1.4059999999999999</v>
      </c>
      <c r="AB10" s="11">
        <v>2E-3</v>
      </c>
      <c r="AC10" s="2">
        <v>2E-3</v>
      </c>
    </row>
    <row r="11" spans="1:29" x14ac:dyDescent="0.35">
      <c r="A11" s="11">
        <v>8</v>
      </c>
      <c r="B11" s="11">
        <v>0.81</v>
      </c>
      <c r="C11" s="11">
        <v>0.44700000000000001</v>
      </c>
      <c r="D11" s="23">
        <f t="shared" si="0"/>
        <v>0.44751381215469621</v>
      </c>
      <c r="E11" s="11">
        <v>0.26500000000000001</v>
      </c>
      <c r="F11" s="25">
        <f t="shared" si="1"/>
        <v>0.26604760553100043</v>
      </c>
      <c r="G11" s="11">
        <v>6.8000000000000005E-2</v>
      </c>
      <c r="H11" s="26">
        <f t="shared" si="2"/>
        <v>6.9579071772983905E-2</v>
      </c>
      <c r="I11" s="11">
        <v>2.1000000000000001E-2</v>
      </c>
      <c r="J11" s="26">
        <f t="shared" si="3"/>
        <v>2.0332498201922927E-2</v>
      </c>
      <c r="K11" s="11">
        <v>3.0000000000000001E-3</v>
      </c>
      <c r="L11" s="26">
        <f t="shared" si="4"/>
        <v>2.2970541120242022E-3</v>
      </c>
      <c r="M11" s="32">
        <v>6.0420000000000005E-4</v>
      </c>
      <c r="N11" s="26">
        <f t="shared" si="5"/>
        <v>4.0878705278488445E-6</v>
      </c>
      <c r="P11" s="11">
        <v>8</v>
      </c>
      <c r="Q11" s="15">
        <v>0.81</v>
      </c>
      <c r="R11" s="20">
        <f t="shared" si="6"/>
        <v>0.70710678118654757</v>
      </c>
      <c r="S11" s="2">
        <v>1</v>
      </c>
      <c r="T11" s="11">
        <v>1</v>
      </c>
      <c r="U11" s="11">
        <f>2*0.616</f>
        <v>1.232</v>
      </c>
      <c r="V11" s="11">
        <v>3.9E-2</v>
      </c>
      <c r="W11" s="33">
        <v>4.1000000000000002E-2</v>
      </c>
      <c r="X11" s="20">
        <f t="shared" si="7"/>
        <v>0.70710678118654757</v>
      </c>
      <c r="Y11" s="2">
        <v>1</v>
      </c>
      <c r="Z11" s="11">
        <v>1</v>
      </c>
      <c r="AA11" s="11">
        <f>2*0.618</f>
        <v>1.236</v>
      </c>
      <c r="AB11" s="11">
        <v>8.9999999999999993E-3</v>
      </c>
      <c r="AC11" s="2">
        <v>8.0000000000000002E-3</v>
      </c>
    </row>
    <row r="12" spans="1:29" ht="15" thickBot="1" x14ac:dyDescent="0.4">
      <c r="A12" s="11">
        <v>9</v>
      </c>
      <c r="B12" s="11">
        <v>0.91</v>
      </c>
      <c r="C12" s="11">
        <v>0.47799999999999998</v>
      </c>
      <c r="D12" s="23">
        <f t="shared" si="0"/>
        <v>0.47643979057591623</v>
      </c>
      <c r="E12" s="11">
        <v>0.3</v>
      </c>
      <c r="F12" s="25">
        <f t="shared" si="1"/>
        <v>0.30243599576348568</v>
      </c>
      <c r="G12" s="11">
        <v>9.8000000000000004E-2</v>
      </c>
      <c r="H12" s="26">
        <f t="shared" si="2"/>
        <v>0.10576181709455215</v>
      </c>
      <c r="I12" s="11">
        <v>4.3999999999999997E-2</v>
      </c>
      <c r="J12" s="26">
        <f t="shared" si="3"/>
        <v>4.7073101388056593E-2</v>
      </c>
      <c r="K12" s="11">
        <v>1.4E-2</v>
      </c>
      <c r="L12" s="26">
        <f t="shared" si="4"/>
        <v>1.4203332420090586E-2</v>
      </c>
      <c r="M12" s="11">
        <v>1E-3</v>
      </c>
      <c r="N12" s="26">
        <f t="shared" si="5"/>
        <v>7.3890076827817135E-4</v>
      </c>
      <c r="P12" s="11">
        <v>9</v>
      </c>
      <c r="Q12" s="15">
        <v>0.91</v>
      </c>
      <c r="R12" s="20">
        <f t="shared" si="6"/>
        <v>0.70710678118654757</v>
      </c>
      <c r="S12" s="2">
        <v>1</v>
      </c>
      <c r="T12" s="11">
        <v>1</v>
      </c>
      <c r="U12" s="11">
        <f>2*0.546</f>
        <v>1.0920000000000001</v>
      </c>
      <c r="V12" s="11">
        <v>7.5999999999999998E-2</v>
      </c>
      <c r="W12" s="33">
        <v>7.3999999999999996E-2</v>
      </c>
      <c r="X12" s="20">
        <f t="shared" si="7"/>
        <v>0.70710678118654757</v>
      </c>
      <c r="Y12" s="2">
        <v>1</v>
      </c>
      <c r="Z12" s="11">
        <v>1</v>
      </c>
      <c r="AA12" s="11">
        <f>2*0.538</f>
        <v>1.0760000000000001</v>
      </c>
      <c r="AB12" s="11">
        <v>3.1E-2</v>
      </c>
      <c r="AC12" s="2">
        <v>3.5000000000000003E-2</v>
      </c>
    </row>
    <row r="13" spans="1:29" ht="15" thickBot="1" x14ac:dyDescent="0.4">
      <c r="A13" s="10">
        <v>10</v>
      </c>
      <c r="B13" s="12">
        <v>0.99</v>
      </c>
      <c r="C13" s="12">
        <v>0.497</v>
      </c>
      <c r="D13" s="24">
        <f t="shared" si="0"/>
        <v>0.49748743718592936</v>
      </c>
      <c r="E13" s="12">
        <v>0.32700000000000001</v>
      </c>
      <c r="F13" s="30">
        <f t="shared" si="1"/>
        <v>0.32998888926298708</v>
      </c>
      <c r="G13" s="12">
        <v>0.14000000000000001</v>
      </c>
      <c r="H13" s="31">
        <f t="shared" si="2"/>
        <v>0.13858614424226531</v>
      </c>
      <c r="I13" s="12">
        <v>7.9000000000000001E-2</v>
      </c>
      <c r="J13" s="31">
        <f t="shared" si="3"/>
        <v>7.8804492657147465E-2</v>
      </c>
      <c r="K13" s="12">
        <v>4.2999999999999997E-2</v>
      </c>
      <c r="L13" s="31">
        <f t="shared" si="4"/>
        <v>4.0819190133180347E-2</v>
      </c>
      <c r="M13" s="12">
        <v>1.2E-2</v>
      </c>
      <c r="N13" s="31">
        <f t="shared" si="5"/>
        <v>1.4715150659470532E-2</v>
      </c>
      <c r="P13" s="12">
        <v>10</v>
      </c>
      <c r="Q13" s="16">
        <v>0.99</v>
      </c>
      <c r="R13" s="21">
        <f t="shared" si="6"/>
        <v>0.70710678118654757</v>
      </c>
      <c r="S13" s="3">
        <v>1</v>
      </c>
      <c r="T13" s="12">
        <v>1</v>
      </c>
      <c r="U13" s="12">
        <f>2*0.494</f>
        <v>0.98799999999999999</v>
      </c>
      <c r="V13" s="12">
        <v>0.11799999999999999</v>
      </c>
      <c r="W13" s="16">
        <v>0.112</v>
      </c>
      <c r="X13" s="21">
        <f t="shared" si="7"/>
        <v>0.70710678118654757</v>
      </c>
      <c r="Y13" s="3">
        <v>1</v>
      </c>
      <c r="Z13" s="12">
        <v>1</v>
      </c>
      <c r="AA13" s="12">
        <f>2*0.511</f>
        <v>1.022</v>
      </c>
      <c r="AB13" s="12">
        <v>6.7000000000000004E-2</v>
      </c>
      <c r="AC13" s="3">
        <v>5.2999999999999999E-2</v>
      </c>
    </row>
  </sheetData>
  <mergeCells count="10">
    <mergeCell ref="C1:N1"/>
    <mergeCell ref="R1:AC1"/>
    <mergeCell ref="R2:W2"/>
    <mergeCell ref="X2:AC2"/>
    <mergeCell ref="C2:D2"/>
    <mergeCell ref="E2:F2"/>
    <mergeCell ref="G2:H2"/>
    <mergeCell ref="I2:J2"/>
    <mergeCell ref="K2:L2"/>
    <mergeCell ref="M2: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Taipan ⠀</dc:creator>
  <cp:lastModifiedBy>Taipan ⠀</cp:lastModifiedBy>
  <dcterms:created xsi:type="dcterms:W3CDTF">2015-06-05T18:19:34Z</dcterms:created>
  <dcterms:modified xsi:type="dcterms:W3CDTF">2024-10-09T14:58:22Z</dcterms:modified>
</cp:coreProperties>
</file>