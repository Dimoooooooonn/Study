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5\OneDrive\Рабочий стол\"/>
    </mc:Choice>
  </mc:AlternateContent>
  <xr:revisionPtr revIDLastSave="0" documentId="13_ncr:1_{0DD8FCC2-BCD3-40D7-B630-3A08040C1E91}" xr6:coauthVersionLast="47" xr6:coauthVersionMax="47" xr10:uidLastSave="{00000000-0000-0000-0000-000000000000}"/>
  <bookViews>
    <workbookView xWindow="-110" yWindow="-110" windowWidth="19420" windowHeight="11500" xr2:uid="{08500698-CBF6-4262-A391-903074C539DF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K2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1" i="1"/>
  <c r="AC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Y1" i="1"/>
  <c r="X1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" i="1"/>
  <c r="W4" i="1"/>
  <c r="W5" i="1"/>
  <c r="W6" i="1"/>
  <c r="W7" i="1"/>
  <c r="W8" i="1"/>
  <c r="W9" i="1"/>
  <c r="W10" i="1"/>
  <c r="W11" i="1"/>
  <c r="W12" i="1"/>
  <c r="W2" i="1"/>
  <c r="W1" i="1"/>
  <c r="J7" i="1"/>
  <c r="K7" i="1" s="1"/>
  <c r="J6" i="1"/>
  <c r="K6" i="1" s="1"/>
  <c r="J5" i="1"/>
  <c r="K5" i="1" s="1"/>
  <c r="J4" i="1"/>
  <c r="K4" i="1" s="1"/>
  <c r="J3" i="1"/>
  <c r="K3" i="1" s="1"/>
</calcChain>
</file>

<file path=xl/sharedStrings.xml><?xml version="1.0" encoding="utf-8"?>
<sst xmlns="http://schemas.openxmlformats.org/spreadsheetml/2006/main" count="430" uniqueCount="12">
  <si>
    <t>03/17/2026</t>
  </si>
  <si>
    <t>Средняя скорость вход трафика</t>
  </si>
  <si>
    <t>1 минута</t>
  </si>
  <si>
    <t>Средняя скорость исход трафика</t>
  </si>
  <si>
    <t>Средняя скорость сумм трафика</t>
  </si>
  <si>
    <t>Скорость по методу 95-го процентиля (вход)</t>
  </si>
  <si>
    <t>Скорость по методу 95-го процентиля (исход)</t>
  </si>
  <si>
    <t>Скорость по методу 95-го процентиля (сумм)</t>
  </si>
  <si>
    <t>5 минут</t>
  </si>
  <si>
    <t>Мбит/с</t>
  </si>
  <si>
    <t>При замерах в 1 минуту</t>
  </si>
  <si>
    <t>При замерах в 5 минут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</si>
</sst>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Входящий</a:t>
            </a:r>
            <a:r>
              <a:rPr lang="ru-RU" baseline="0"/>
              <a:t> трафик, Мбит</a:t>
            </a:r>
            <a:r>
              <a:rPr lang="en-US" baseline="0"/>
              <a:t>/</a:t>
            </a:r>
            <a:r>
              <a:rPr lang="ru-RU" baseline="0"/>
              <a:t>мин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Лист1!$W$1:$W$324</c:f>
              <c:numCache>
                <c:formatCode>General</c:formatCode>
                <c:ptCount val="324"/>
                <c:pt idx="0">
                  <c:v>0.62837600000000005</c:v>
                </c:pt>
                <c:pt idx="1">
                  <c:v>5.3271199999999999</c:v>
                </c:pt>
                <c:pt idx="2">
                  <c:v>17.317328</c:v>
                </c:pt>
                <c:pt idx="3">
                  <c:v>16.312183999999998</c:v>
                </c:pt>
                <c:pt idx="4">
                  <c:v>1.1970719999999999</c:v>
                </c:pt>
                <c:pt idx="5">
                  <c:v>1.050136</c:v>
                </c:pt>
                <c:pt idx="6">
                  <c:v>357.072992</c:v>
                </c:pt>
                <c:pt idx="7">
                  <c:v>5.2949919999999997</c:v>
                </c:pt>
                <c:pt idx="8">
                  <c:v>1.9583280000000001</c:v>
                </c:pt>
                <c:pt idx="9">
                  <c:v>24.423568</c:v>
                </c:pt>
                <c:pt idx="10">
                  <c:v>183.53322399999999</c:v>
                </c:pt>
                <c:pt idx="11">
                  <c:v>483.36194399999999</c:v>
                </c:pt>
                <c:pt idx="12">
                  <c:v>21.28172</c:v>
                </c:pt>
                <c:pt idx="13">
                  <c:v>38.977151999999997</c:v>
                </c:pt>
                <c:pt idx="14">
                  <c:v>40.535271999999999</c:v>
                </c:pt>
                <c:pt idx="15">
                  <c:v>3.0059999999999998</c:v>
                </c:pt>
                <c:pt idx="16">
                  <c:v>21.835456000000001</c:v>
                </c:pt>
                <c:pt idx="17">
                  <c:v>45.235039999999998</c:v>
                </c:pt>
                <c:pt idx="18">
                  <c:v>38.819816000000003</c:v>
                </c:pt>
                <c:pt idx="19">
                  <c:v>49.287503999999998</c:v>
                </c:pt>
                <c:pt idx="20">
                  <c:v>288.91773599999999</c:v>
                </c:pt>
                <c:pt idx="21">
                  <c:v>286.08928800000001</c:v>
                </c:pt>
                <c:pt idx="22">
                  <c:v>204.47796</c:v>
                </c:pt>
                <c:pt idx="23">
                  <c:v>172.967848</c:v>
                </c:pt>
                <c:pt idx="24">
                  <c:v>410.29550399999999</c:v>
                </c:pt>
                <c:pt idx="25">
                  <c:v>385.38394399999999</c:v>
                </c:pt>
                <c:pt idx="26">
                  <c:v>282.462648</c:v>
                </c:pt>
                <c:pt idx="27">
                  <c:v>314.40457600000002</c:v>
                </c:pt>
                <c:pt idx="28">
                  <c:v>101.14823199999999</c:v>
                </c:pt>
                <c:pt idx="29">
                  <c:v>283.29951999999997</c:v>
                </c:pt>
                <c:pt idx="30">
                  <c:v>137.09465599999999</c:v>
                </c:pt>
                <c:pt idx="31">
                  <c:v>86.239592000000002</c:v>
                </c:pt>
                <c:pt idx="32">
                  <c:v>24.948447999999999</c:v>
                </c:pt>
                <c:pt idx="33">
                  <c:v>436.23591199999998</c:v>
                </c:pt>
                <c:pt idx="34">
                  <c:v>294.51679200000001</c:v>
                </c:pt>
                <c:pt idx="35">
                  <c:v>381.34860800000001</c:v>
                </c:pt>
                <c:pt idx="36">
                  <c:v>136.052672</c:v>
                </c:pt>
                <c:pt idx="37">
                  <c:v>82.781335999999996</c:v>
                </c:pt>
                <c:pt idx="38">
                  <c:v>34.866424000000002</c:v>
                </c:pt>
                <c:pt idx="39">
                  <c:v>281.10724800000003</c:v>
                </c:pt>
                <c:pt idx="40">
                  <c:v>294.78747199999998</c:v>
                </c:pt>
                <c:pt idx="41">
                  <c:v>436.426984</c:v>
                </c:pt>
                <c:pt idx="42">
                  <c:v>240.45043999999999</c:v>
                </c:pt>
                <c:pt idx="43">
                  <c:v>236.17148800000001</c:v>
                </c:pt>
                <c:pt idx="44">
                  <c:v>354.20593600000001</c:v>
                </c:pt>
                <c:pt idx="45">
                  <c:v>260.36912000000001</c:v>
                </c:pt>
                <c:pt idx="46">
                  <c:v>136.70865599999999</c:v>
                </c:pt>
                <c:pt idx="47">
                  <c:v>52.647455999999998</c:v>
                </c:pt>
                <c:pt idx="48">
                  <c:v>78.893808000000007</c:v>
                </c:pt>
                <c:pt idx="49">
                  <c:v>385.09786400000002</c:v>
                </c:pt>
                <c:pt idx="50">
                  <c:v>288.60898400000002</c:v>
                </c:pt>
                <c:pt idx="51">
                  <c:v>440.88474400000001</c:v>
                </c:pt>
                <c:pt idx="52">
                  <c:v>44.308239999999998</c:v>
                </c:pt>
                <c:pt idx="53">
                  <c:v>26.032056000000001</c:v>
                </c:pt>
                <c:pt idx="54">
                  <c:v>168.355368</c:v>
                </c:pt>
                <c:pt idx="55">
                  <c:v>291.71829600000001</c:v>
                </c:pt>
                <c:pt idx="56">
                  <c:v>431.64838400000002</c:v>
                </c:pt>
                <c:pt idx="57">
                  <c:v>259.36395199999998</c:v>
                </c:pt>
                <c:pt idx="58">
                  <c:v>323.511144</c:v>
                </c:pt>
                <c:pt idx="59">
                  <c:v>360.13412799999998</c:v>
                </c:pt>
                <c:pt idx="60">
                  <c:v>61.372824000000001</c:v>
                </c:pt>
                <c:pt idx="61">
                  <c:v>84.773743999999994</c:v>
                </c:pt>
                <c:pt idx="62">
                  <c:v>160.61632</c:v>
                </c:pt>
                <c:pt idx="63">
                  <c:v>354.25430399999999</c:v>
                </c:pt>
                <c:pt idx="64">
                  <c:v>154.75025600000001</c:v>
                </c:pt>
                <c:pt idx="65">
                  <c:v>251.7508</c:v>
                </c:pt>
                <c:pt idx="66">
                  <c:v>348.52503999999999</c:v>
                </c:pt>
                <c:pt idx="67">
                  <c:v>198.01115999999999</c:v>
                </c:pt>
                <c:pt idx="68">
                  <c:v>217.60234399999999</c:v>
                </c:pt>
                <c:pt idx="69">
                  <c:v>40.416176</c:v>
                </c:pt>
                <c:pt idx="70">
                  <c:v>22.296600000000002</c:v>
                </c:pt>
                <c:pt idx="71">
                  <c:v>68.805040000000005</c:v>
                </c:pt>
                <c:pt idx="72">
                  <c:v>192.597104</c:v>
                </c:pt>
                <c:pt idx="73">
                  <c:v>7.5880400000000003</c:v>
                </c:pt>
                <c:pt idx="74">
                  <c:v>1.56348</c:v>
                </c:pt>
                <c:pt idx="75">
                  <c:v>2.6949920000000001</c:v>
                </c:pt>
                <c:pt idx="76">
                  <c:v>1.2565999999999999</c:v>
                </c:pt>
                <c:pt idx="77">
                  <c:v>1.099424</c:v>
                </c:pt>
                <c:pt idx="78">
                  <c:v>1.5010159999999999</c:v>
                </c:pt>
                <c:pt idx="79">
                  <c:v>2.915152</c:v>
                </c:pt>
                <c:pt idx="80">
                  <c:v>1.799528</c:v>
                </c:pt>
                <c:pt idx="81">
                  <c:v>0.88626400000000005</c:v>
                </c:pt>
                <c:pt idx="82">
                  <c:v>14.989088000000001</c:v>
                </c:pt>
                <c:pt idx="83">
                  <c:v>6.6866159999999999</c:v>
                </c:pt>
                <c:pt idx="84">
                  <c:v>91.639976000000004</c:v>
                </c:pt>
                <c:pt idx="85">
                  <c:v>52.879528000000001</c:v>
                </c:pt>
                <c:pt idx="86">
                  <c:v>53.501728</c:v>
                </c:pt>
                <c:pt idx="87">
                  <c:v>0.72443999999999997</c:v>
                </c:pt>
                <c:pt idx="88">
                  <c:v>2.3105199999999999</c:v>
                </c:pt>
                <c:pt idx="89">
                  <c:v>1.8951199999999999</c:v>
                </c:pt>
                <c:pt idx="90">
                  <c:v>2.2179920000000002</c:v>
                </c:pt>
                <c:pt idx="91">
                  <c:v>1.462952</c:v>
                </c:pt>
                <c:pt idx="92">
                  <c:v>1.6473439999999999</c:v>
                </c:pt>
                <c:pt idx="93">
                  <c:v>2.3406159999999998</c:v>
                </c:pt>
                <c:pt idx="94">
                  <c:v>2.7621600000000002</c:v>
                </c:pt>
                <c:pt idx="95">
                  <c:v>2.4645760000000001</c:v>
                </c:pt>
                <c:pt idx="96">
                  <c:v>1.401608</c:v>
                </c:pt>
                <c:pt idx="97">
                  <c:v>15.314655999999999</c:v>
                </c:pt>
                <c:pt idx="98">
                  <c:v>4.3903999999999996</c:v>
                </c:pt>
                <c:pt idx="99">
                  <c:v>1.6571359999999999</c:v>
                </c:pt>
                <c:pt idx="100">
                  <c:v>0.80385600000000001</c:v>
                </c:pt>
                <c:pt idx="101">
                  <c:v>0.833264</c:v>
                </c:pt>
                <c:pt idx="102">
                  <c:v>37.409447999999998</c:v>
                </c:pt>
                <c:pt idx="103">
                  <c:v>143.83343199999999</c:v>
                </c:pt>
                <c:pt idx="104">
                  <c:v>11.685368</c:v>
                </c:pt>
                <c:pt idx="105">
                  <c:v>26.075679999999998</c:v>
                </c:pt>
                <c:pt idx="106">
                  <c:v>2.7343600000000001</c:v>
                </c:pt>
                <c:pt idx="107">
                  <c:v>1.31216</c:v>
                </c:pt>
                <c:pt idx="108">
                  <c:v>1.685136</c:v>
                </c:pt>
                <c:pt idx="109">
                  <c:v>0.71249600000000002</c:v>
                </c:pt>
                <c:pt idx="110">
                  <c:v>2.3562639999999999</c:v>
                </c:pt>
                <c:pt idx="111">
                  <c:v>1.2132719999999999</c:v>
                </c:pt>
                <c:pt idx="112">
                  <c:v>1.0247679999999999</c:v>
                </c:pt>
                <c:pt idx="113">
                  <c:v>0.76380000000000003</c:v>
                </c:pt>
                <c:pt idx="114">
                  <c:v>2.2639360000000002</c:v>
                </c:pt>
                <c:pt idx="115">
                  <c:v>0.96415200000000001</c:v>
                </c:pt>
                <c:pt idx="116">
                  <c:v>0.45755200000000001</c:v>
                </c:pt>
                <c:pt idx="117">
                  <c:v>0.80952800000000003</c:v>
                </c:pt>
                <c:pt idx="118">
                  <c:v>1.8588960000000001</c:v>
                </c:pt>
                <c:pt idx="119">
                  <c:v>1.4401520000000001</c:v>
                </c:pt>
                <c:pt idx="120">
                  <c:v>0.92803999999999998</c:v>
                </c:pt>
                <c:pt idx="121">
                  <c:v>0.593024</c:v>
                </c:pt>
                <c:pt idx="122">
                  <c:v>1.2639359999999999</c:v>
                </c:pt>
                <c:pt idx="123">
                  <c:v>0.56781599999999999</c:v>
                </c:pt>
                <c:pt idx="124">
                  <c:v>1.664936</c:v>
                </c:pt>
                <c:pt idx="125">
                  <c:v>0.71564000000000005</c:v>
                </c:pt>
                <c:pt idx="126">
                  <c:v>1.1581440000000001</c:v>
                </c:pt>
                <c:pt idx="127">
                  <c:v>0.49204799999999999</c:v>
                </c:pt>
                <c:pt idx="128">
                  <c:v>0.84185600000000005</c:v>
                </c:pt>
                <c:pt idx="129">
                  <c:v>1.784208</c:v>
                </c:pt>
                <c:pt idx="130">
                  <c:v>0.99797599999999997</c:v>
                </c:pt>
                <c:pt idx="131">
                  <c:v>0.61060000000000003</c:v>
                </c:pt>
                <c:pt idx="132">
                  <c:v>1.2729999999999999</c:v>
                </c:pt>
                <c:pt idx="133">
                  <c:v>1.0222720000000001</c:v>
                </c:pt>
                <c:pt idx="134">
                  <c:v>1.810816</c:v>
                </c:pt>
                <c:pt idx="135">
                  <c:v>1.1498159999999999</c:v>
                </c:pt>
                <c:pt idx="136">
                  <c:v>0.84468799999999999</c:v>
                </c:pt>
                <c:pt idx="137">
                  <c:v>0.62862399999999996</c:v>
                </c:pt>
                <c:pt idx="138">
                  <c:v>1.385032</c:v>
                </c:pt>
                <c:pt idx="139">
                  <c:v>1.2938160000000001</c:v>
                </c:pt>
                <c:pt idx="140">
                  <c:v>0.54008800000000001</c:v>
                </c:pt>
                <c:pt idx="141">
                  <c:v>0.51561599999999996</c:v>
                </c:pt>
                <c:pt idx="142">
                  <c:v>1.1310880000000001</c:v>
                </c:pt>
                <c:pt idx="143">
                  <c:v>0.92535999999999996</c:v>
                </c:pt>
                <c:pt idx="144">
                  <c:v>1.5584560000000001</c:v>
                </c:pt>
                <c:pt idx="145">
                  <c:v>0.61244799999999999</c:v>
                </c:pt>
                <c:pt idx="146">
                  <c:v>0.82536799999999999</c:v>
                </c:pt>
                <c:pt idx="147">
                  <c:v>0.48696800000000001</c:v>
                </c:pt>
                <c:pt idx="148">
                  <c:v>0.70964000000000005</c:v>
                </c:pt>
                <c:pt idx="149">
                  <c:v>1.105264</c:v>
                </c:pt>
                <c:pt idx="150">
                  <c:v>3.4405920000000001</c:v>
                </c:pt>
                <c:pt idx="151">
                  <c:v>1.091888</c:v>
                </c:pt>
                <c:pt idx="152">
                  <c:v>0.99919999999999998</c:v>
                </c:pt>
                <c:pt idx="153">
                  <c:v>1.537928</c:v>
                </c:pt>
                <c:pt idx="154">
                  <c:v>2.7166000000000001</c:v>
                </c:pt>
                <c:pt idx="155">
                  <c:v>1.45892</c:v>
                </c:pt>
                <c:pt idx="156">
                  <c:v>1.8145519999999999</c:v>
                </c:pt>
                <c:pt idx="157">
                  <c:v>0.94897600000000004</c:v>
                </c:pt>
                <c:pt idx="158">
                  <c:v>1.266008</c:v>
                </c:pt>
                <c:pt idx="159">
                  <c:v>2.0929440000000001</c:v>
                </c:pt>
                <c:pt idx="160">
                  <c:v>3.6941760000000001</c:v>
                </c:pt>
                <c:pt idx="161">
                  <c:v>2.8693040000000001</c:v>
                </c:pt>
                <c:pt idx="162">
                  <c:v>14.094151999999999</c:v>
                </c:pt>
                <c:pt idx="163">
                  <c:v>0.67998400000000003</c:v>
                </c:pt>
                <c:pt idx="164">
                  <c:v>1.5103279999999999</c:v>
                </c:pt>
                <c:pt idx="165">
                  <c:v>1.17652</c:v>
                </c:pt>
                <c:pt idx="166">
                  <c:v>2.7931119999999998</c:v>
                </c:pt>
                <c:pt idx="167">
                  <c:v>0.95103199999999999</c:v>
                </c:pt>
                <c:pt idx="168">
                  <c:v>0.99962399999999996</c:v>
                </c:pt>
                <c:pt idx="169">
                  <c:v>1.4645440000000001</c:v>
                </c:pt>
                <c:pt idx="170">
                  <c:v>4.3764880000000002</c:v>
                </c:pt>
                <c:pt idx="171">
                  <c:v>11.029152</c:v>
                </c:pt>
                <c:pt idx="172">
                  <c:v>0.57178399999999996</c:v>
                </c:pt>
                <c:pt idx="173">
                  <c:v>0.95760800000000001</c:v>
                </c:pt>
                <c:pt idx="174">
                  <c:v>2.1947760000000001</c:v>
                </c:pt>
                <c:pt idx="175">
                  <c:v>3.9978319999999998</c:v>
                </c:pt>
                <c:pt idx="176">
                  <c:v>2.2610079999999999</c:v>
                </c:pt>
                <c:pt idx="177">
                  <c:v>6.6161199999999996</c:v>
                </c:pt>
                <c:pt idx="178">
                  <c:v>1.4361839999999999</c:v>
                </c:pt>
                <c:pt idx="179">
                  <c:v>1.9075120000000001</c:v>
                </c:pt>
                <c:pt idx="180">
                  <c:v>1.7943439999999999</c:v>
                </c:pt>
                <c:pt idx="181">
                  <c:v>1.5529520000000001</c:v>
                </c:pt>
                <c:pt idx="182">
                  <c:v>3.909208</c:v>
                </c:pt>
                <c:pt idx="183">
                  <c:v>121.201144</c:v>
                </c:pt>
                <c:pt idx="184">
                  <c:v>148.56622400000001</c:v>
                </c:pt>
                <c:pt idx="185">
                  <c:v>1.8973679999999999</c:v>
                </c:pt>
                <c:pt idx="186">
                  <c:v>1.5727279999999999</c:v>
                </c:pt>
                <c:pt idx="187">
                  <c:v>3.1288399999999998</c:v>
                </c:pt>
                <c:pt idx="188">
                  <c:v>1.605856</c:v>
                </c:pt>
                <c:pt idx="189">
                  <c:v>33.289256000000002</c:v>
                </c:pt>
                <c:pt idx="190">
                  <c:v>20.549479999999999</c:v>
                </c:pt>
                <c:pt idx="191">
                  <c:v>90.205207999999999</c:v>
                </c:pt>
                <c:pt idx="192">
                  <c:v>541.650576</c:v>
                </c:pt>
                <c:pt idx="193">
                  <c:v>65.019431999999995</c:v>
                </c:pt>
                <c:pt idx="194">
                  <c:v>6.7833680000000003</c:v>
                </c:pt>
                <c:pt idx="195">
                  <c:v>1.896576</c:v>
                </c:pt>
                <c:pt idx="196">
                  <c:v>1.8937839999999999</c:v>
                </c:pt>
                <c:pt idx="197">
                  <c:v>1.594848</c:v>
                </c:pt>
                <c:pt idx="198">
                  <c:v>129.44596000000001</c:v>
                </c:pt>
                <c:pt idx="199">
                  <c:v>439.90873599999998</c:v>
                </c:pt>
                <c:pt idx="200">
                  <c:v>294.75154400000002</c:v>
                </c:pt>
                <c:pt idx="201">
                  <c:v>270.69135199999999</c:v>
                </c:pt>
                <c:pt idx="202">
                  <c:v>371.72655200000003</c:v>
                </c:pt>
                <c:pt idx="203">
                  <c:v>135.87860000000001</c:v>
                </c:pt>
                <c:pt idx="204">
                  <c:v>117.09952</c:v>
                </c:pt>
                <c:pt idx="205">
                  <c:v>195.884376</c:v>
                </c:pt>
                <c:pt idx="206">
                  <c:v>271.56950399999999</c:v>
                </c:pt>
                <c:pt idx="207">
                  <c:v>290.69068800000002</c:v>
                </c:pt>
                <c:pt idx="208">
                  <c:v>433.10399200000001</c:v>
                </c:pt>
                <c:pt idx="209">
                  <c:v>294.10748000000001</c:v>
                </c:pt>
                <c:pt idx="210">
                  <c:v>294.96796000000001</c:v>
                </c:pt>
                <c:pt idx="211">
                  <c:v>348.540144</c:v>
                </c:pt>
                <c:pt idx="212">
                  <c:v>145.22549599999999</c:v>
                </c:pt>
                <c:pt idx="213">
                  <c:v>379.91084799999999</c:v>
                </c:pt>
                <c:pt idx="214">
                  <c:v>276.104784</c:v>
                </c:pt>
                <c:pt idx="215">
                  <c:v>362.25568800000002</c:v>
                </c:pt>
                <c:pt idx="216">
                  <c:v>236.99454399999999</c:v>
                </c:pt>
                <c:pt idx="217">
                  <c:v>51.912295999999998</c:v>
                </c:pt>
                <c:pt idx="218">
                  <c:v>650.74853599999994</c:v>
                </c:pt>
                <c:pt idx="219">
                  <c:v>111.186656</c:v>
                </c:pt>
                <c:pt idx="220">
                  <c:v>277.77003200000001</c:v>
                </c:pt>
                <c:pt idx="221">
                  <c:v>240.84278399999999</c:v>
                </c:pt>
                <c:pt idx="222">
                  <c:v>269.71128800000002</c:v>
                </c:pt>
                <c:pt idx="223">
                  <c:v>183.92546400000001</c:v>
                </c:pt>
                <c:pt idx="224">
                  <c:v>415.64138400000002</c:v>
                </c:pt>
                <c:pt idx="225">
                  <c:v>276.9588</c:v>
                </c:pt>
                <c:pt idx="226">
                  <c:v>291.384592</c:v>
                </c:pt>
                <c:pt idx="227">
                  <c:v>237.721272</c:v>
                </c:pt>
                <c:pt idx="228">
                  <c:v>112.92498399999999</c:v>
                </c:pt>
                <c:pt idx="229">
                  <c:v>359.58211999999997</c:v>
                </c:pt>
                <c:pt idx="230">
                  <c:v>301.49968799999999</c:v>
                </c:pt>
                <c:pt idx="231">
                  <c:v>296.36040000000003</c:v>
                </c:pt>
                <c:pt idx="232">
                  <c:v>352.95471199999997</c:v>
                </c:pt>
                <c:pt idx="233">
                  <c:v>286.96771999999999</c:v>
                </c:pt>
                <c:pt idx="234">
                  <c:v>65.130759999999995</c:v>
                </c:pt>
                <c:pt idx="235">
                  <c:v>1.8096000000000001</c:v>
                </c:pt>
                <c:pt idx="236">
                  <c:v>0.66697600000000001</c:v>
                </c:pt>
                <c:pt idx="237">
                  <c:v>0.40495999999999999</c:v>
                </c:pt>
                <c:pt idx="238">
                  <c:v>1.0398799999999999</c:v>
                </c:pt>
                <c:pt idx="239">
                  <c:v>352.58766400000002</c:v>
                </c:pt>
                <c:pt idx="240">
                  <c:v>1.0584640000000001</c:v>
                </c:pt>
                <c:pt idx="241">
                  <c:v>13.438464</c:v>
                </c:pt>
                <c:pt idx="242">
                  <c:v>24.185704000000001</c:v>
                </c:pt>
                <c:pt idx="243">
                  <c:v>151.19252800000001</c:v>
                </c:pt>
                <c:pt idx="244">
                  <c:v>261.69488799999999</c:v>
                </c:pt>
                <c:pt idx="245">
                  <c:v>395.34963199999999</c:v>
                </c:pt>
                <c:pt idx="246">
                  <c:v>269.20603199999999</c:v>
                </c:pt>
                <c:pt idx="247">
                  <c:v>0.771424</c:v>
                </c:pt>
                <c:pt idx="248">
                  <c:v>253.408736</c:v>
                </c:pt>
                <c:pt idx="249">
                  <c:v>114.693848</c:v>
                </c:pt>
                <c:pt idx="250">
                  <c:v>263.627544</c:v>
                </c:pt>
                <c:pt idx="251">
                  <c:v>437.60127999999997</c:v>
                </c:pt>
                <c:pt idx="252">
                  <c:v>143.89012</c:v>
                </c:pt>
                <c:pt idx="253">
                  <c:v>297.93690400000003</c:v>
                </c:pt>
                <c:pt idx="254">
                  <c:v>228.88765599999999</c:v>
                </c:pt>
                <c:pt idx="255">
                  <c:v>49.451991999999997</c:v>
                </c:pt>
                <c:pt idx="256">
                  <c:v>27.771312000000002</c:v>
                </c:pt>
                <c:pt idx="257">
                  <c:v>57.774023999999997</c:v>
                </c:pt>
                <c:pt idx="258">
                  <c:v>115.68156</c:v>
                </c:pt>
                <c:pt idx="259">
                  <c:v>392.30059999999997</c:v>
                </c:pt>
                <c:pt idx="260">
                  <c:v>299.31859200000002</c:v>
                </c:pt>
                <c:pt idx="261">
                  <c:v>84.370928000000006</c:v>
                </c:pt>
                <c:pt idx="262">
                  <c:v>3.1162800000000002</c:v>
                </c:pt>
                <c:pt idx="263">
                  <c:v>456.08032800000001</c:v>
                </c:pt>
                <c:pt idx="264">
                  <c:v>175.72388799999999</c:v>
                </c:pt>
                <c:pt idx="265">
                  <c:v>393.00036799999998</c:v>
                </c:pt>
                <c:pt idx="266">
                  <c:v>277.87432799999999</c:v>
                </c:pt>
                <c:pt idx="267">
                  <c:v>149.45334399999999</c:v>
                </c:pt>
                <c:pt idx="268">
                  <c:v>16.747071999999999</c:v>
                </c:pt>
                <c:pt idx="269">
                  <c:v>12.451456</c:v>
                </c:pt>
                <c:pt idx="270">
                  <c:v>161.230288</c:v>
                </c:pt>
                <c:pt idx="271">
                  <c:v>55.389831999999998</c:v>
                </c:pt>
                <c:pt idx="272">
                  <c:v>0.99363999999999997</c:v>
                </c:pt>
                <c:pt idx="273">
                  <c:v>5.684272</c:v>
                </c:pt>
                <c:pt idx="274">
                  <c:v>30.084831999999999</c:v>
                </c:pt>
                <c:pt idx="275">
                  <c:v>174.09716</c:v>
                </c:pt>
                <c:pt idx="276">
                  <c:v>291.47438399999999</c:v>
                </c:pt>
                <c:pt idx="277">
                  <c:v>429.79505599999999</c:v>
                </c:pt>
                <c:pt idx="278">
                  <c:v>292.86984000000001</c:v>
                </c:pt>
                <c:pt idx="279">
                  <c:v>259.92544800000002</c:v>
                </c:pt>
                <c:pt idx="280">
                  <c:v>300.29083200000002</c:v>
                </c:pt>
                <c:pt idx="281">
                  <c:v>50.317968</c:v>
                </c:pt>
                <c:pt idx="282">
                  <c:v>299.22048799999999</c:v>
                </c:pt>
                <c:pt idx="283">
                  <c:v>292.07753600000001</c:v>
                </c:pt>
                <c:pt idx="284">
                  <c:v>352.74080800000002</c:v>
                </c:pt>
                <c:pt idx="285">
                  <c:v>375.74972000000002</c:v>
                </c:pt>
                <c:pt idx="286">
                  <c:v>300.04815200000002</c:v>
                </c:pt>
                <c:pt idx="287">
                  <c:v>287.15878400000003</c:v>
                </c:pt>
                <c:pt idx="288">
                  <c:v>45.191023999999999</c:v>
                </c:pt>
                <c:pt idx="289">
                  <c:v>46.091664000000002</c:v>
                </c:pt>
                <c:pt idx="290">
                  <c:v>29.169215999999999</c:v>
                </c:pt>
                <c:pt idx="291">
                  <c:v>129.21882400000001</c:v>
                </c:pt>
                <c:pt idx="292">
                  <c:v>423.94872800000002</c:v>
                </c:pt>
                <c:pt idx="293">
                  <c:v>225.26762400000001</c:v>
                </c:pt>
                <c:pt idx="294">
                  <c:v>427.29801600000002</c:v>
                </c:pt>
                <c:pt idx="295">
                  <c:v>223.87988000000001</c:v>
                </c:pt>
                <c:pt idx="296">
                  <c:v>260.08577600000001</c:v>
                </c:pt>
                <c:pt idx="297">
                  <c:v>437.47063200000002</c:v>
                </c:pt>
                <c:pt idx="298">
                  <c:v>279.81720799999999</c:v>
                </c:pt>
                <c:pt idx="299">
                  <c:v>361.40979199999998</c:v>
                </c:pt>
                <c:pt idx="300">
                  <c:v>194.20284799999999</c:v>
                </c:pt>
                <c:pt idx="301">
                  <c:v>182.6662</c:v>
                </c:pt>
                <c:pt idx="302">
                  <c:v>71.223151999999999</c:v>
                </c:pt>
                <c:pt idx="303">
                  <c:v>113.436728</c:v>
                </c:pt>
                <c:pt idx="304">
                  <c:v>430.61207999999999</c:v>
                </c:pt>
                <c:pt idx="305">
                  <c:v>290.26708000000002</c:v>
                </c:pt>
                <c:pt idx="306">
                  <c:v>293.42126400000001</c:v>
                </c:pt>
                <c:pt idx="307">
                  <c:v>365.14433600000001</c:v>
                </c:pt>
                <c:pt idx="308">
                  <c:v>41.017023999999999</c:v>
                </c:pt>
                <c:pt idx="309">
                  <c:v>118.813672</c:v>
                </c:pt>
                <c:pt idx="310">
                  <c:v>274.39046400000001</c:v>
                </c:pt>
                <c:pt idx="311">
                  <c:v>285.95555999999999</c:v>
                </c:pt>
                <c:pt idx="312">
                  <c:v>295.13462399999997</c:v>
                </c:pt>
                <c:pt idx="313">
                  <c:v>235.79599200000001</c:v>
                </c:pt>
                <c:pt idx="314">
                  <c:v>372.97244799999999</c:v>
                </c:pt>
                <c:pt idx="315">
                  <c:v>260.15004800000003</c:v>
                </c:pt>
                <c:pt idx="316">
                  <c:v>301.46670399999999</c:v>
                </c:pt>
                <c:pt idx="317">
                  <c:v>383.61155200000002</c:v>
                </c:pt>
                <c:pt idx="318">
                  <c:v>293.74186400000002</c:v>
                </c:pt>
                <c:pt idx="319">
                  <c:v>140.01914400000001</c:v>
                </c:pt>
                <c:pt idx="320">
                  <c:v>29.544408000000001</c:v>
                </c:pt>
                <c:pt idx="321">
                  <c:v>4.9737600000000004</c:v>
                </c:pt>
                <c:pt idx="322">
                  <c:v>2.389256</c:v>
                </c:pt>
                <c:pt idx="323">
                  <c:v>3.4478240000000002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4-4C54-ACBC-8807C574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043552"/>
        <c:axId val="1627044032"/>
      </c:lineChart>
      <c:catAx>
        <c:axId val="162704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044032"/>
        <c:crosses val="autoZero"/>
        <c:auto val="1"/>
        <c:lblAlgn val="ctr"/>
        <c:lblOffset val="100"/>
        <c:noMultiLvlLbl val="0"/>
      </c:catAx>
      <c:valAx>
        <c:axId val="16270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04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Исходящий трафик, Мбит/мин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Лист1!$X$1:$X$324</c:f>
              <c:numCache>
                <c:formatCode>General</c:formatCode>
                <c:ptCount val="324"/>
                <c:pt idx="0">
                  <c:v>0.37780000000000002</c:v>
                </c:pt>
                <c:pt idx="1">
                  <c:v>1.5016959999999999</c:v>
                </c:pt>
                <c:pt idx="2">
                  <c:v>5.2658079999999998</c:v>
                </c:pt>
                <c:pt idx="3">
                  <c:v>5.4225760000000003</c:v>
                </c:pt>
                <c:pt idx="4">
                  <c:v>0.66192799999999996</c:v>
                </c:pt>
                <c:pt idx="5">
                  <c:v>0.44128000000000001</c:v>
                </c:pt>
                <c:pt idx="6">
                  <c:v>6.6420960000000004</c:v>
                </c:pt>
                <c:pt idx="7">
                  <c:v>1.2360960000000001</c:v>
                </c:pt>
                <c:pt idx="8">
                  <c:v>0.53400000000000003</c:v>
                </c:pt>
                <c:pt idx="9">
                  <c:v>1.7032959999999999</c:v>
                </c:pt>
                <c:pt idx="10">
                  <c:v>4.8031759999999997</c:v>
                </c:pt>
                <c:pt idx="11">
                  <c:v>4.874968</c:v>
                </c:pt>
                <c:pt idx="12">
                  <c:v>3.4402560000000002</c:v>
                </c:pt>
                <c:pt idx="13">
                  <c:v>6.4964240000000002</c:v>
                </c:pt>
                <c:pt idx="14">
                  <c:v>1.712744</c:v>
                </c:pt>
                <c:pt idx="15">
                  <c:v>59.685336</c:v>
                </c:pt>
                <c:pt idx="16">
                  <c:v>1.1912879999999999</c:v>
                </c:pt>
                <c:pt idx="17">
                  <c:v>1.8703920000000001</c:v>
                </c:pt>
                <c:pt idx="18">
                  <c:v>2.872576</c:v>
                </c:pt>
                <c:pt idx="19">
                  <c:v>0.669736</c:v>
                </c:pt>
                <c:pt idx="20">
                  <c:v>2.2357119999999999</c:v>
                </c:pt>
                <c:pt idx="21">
                  <c:v>1.9572799999999999</c:v>
                </c:pt>
                <c:pt idx="22">
                  <c:v>1.6575040000000001</c:v>
                </c:pt>
                <c:pt idx="23">
                  <c:v>7.2219680000000004</c:v>
                </c:pt>
                <c:pt idx="24">
                  <c:v>21.527287999999999</c:v>
                </c:pt>
                <c:pt idx="25">
                  <c:v>3.0138720000000001</c:v>
                </c:pt>
                <c:pt idx="26">
                  <c:v>2.2908400000000002</c:v>
                </c:pt>
                <c:pt idx="27">
                  <c:v>1.957632</c:v>
                </c:pt>
                <c:pt idx="28">
                  <c:v>1.159448</c:v>
                </c:pt>
                <c:pt idx="29">
                  <c:v>1.994192</c:v>
                </c:pt>
                <c:pt idx="30">
                  <c:v>1.30244</c:v>
                </c:pt>
                <c:pt idx="31">
                  <c:v>1.0518320000000001</c:v>
                </c:pt>
                <c:pt idx="32">
                  <c:v>0.68340800000000002</c:v>
                </c:pt>
                <c:pt idx="33">
                  <c:v>3.1450239999999998</c:v>
                </c:pt>
                <c:pt idx="34">
                  <c:v>2.0162239999999998</c:v>
                </c:pt>
                <c:pt idx="35">
                  <c:v>3.1761439999999999</c:v>
                </c:pt>
                <c:pt idx="36">
                  <c:v>1.3990800000000001</c:v>
                </c:pt>
                <c:pt idx="37">
                  <c:v>1.2059359999999999</c:v>
                </c:pt>
                <c:pt idx="38">
                  <c:v>0.99663999999999997</c:v>
                </c:pt>
                <c:pt idx="39">
                  <c:v>2.4026160000000001</c:v>
                </c:pt>
                <c:pt idx="40">
                  <c:v>1.7192160000000001</c:v>
                </c:pt>
                <c:pt idx="41">
                  <c:v>2.2674560000000001</c:v>
                </c:pt>
                <c:pt idx="42">
                  <c:v>1.5138879999999999</c:v>
                </c:pt>
                <c:pt idx="43">
                  <c:v>3.0072000000000001</c:v>
                </c:pt>
                <c:pt idx="44">
                  <c:v>2.80436</c:v>
                </c:pt>
                <c:pt idx="45">
                  <c:v>1.486488</c:v>
                </c:pt>
                <c:pt idx="46">
                  <c:v>2.537544</c:v>
                </c:pt>
                <c:pt idx="47">
                  <c:v>3.1273840000000002</c:v>
                </c:pt>
                <c:pt idx="48">
                  <c:v>3.750632</c:v>
                </c:pt>
                <c:pt idx="49">
                  <c:v>2.0704319999999998</c:v>
                </c:pt>
                <c:pt idx="50">
                  <c:v>2.1808320000000001</c:v>
                </c:pt>
                <c:pt idx="51">
                  <c:v>2.8036720000000002</c:v>
                </c:pt>
                <c:pt idx="52">
                  <c:v>0.96195200000000003</c:v>
                </c:pt>
                <c:pt idx="53">
                  <c:v>0.80752800000000002</c:v>
                </c:pt>
                <c:pt idx="54">
                  <c:v>1.416048</c:v>
                </c:pt>
                <c:pt idx="55">
                  <c:v>1.963584</c:v>
                </c:pt>
                <c:pt idx="56">
                  <c:v>2.6987920000000001</c:v>
                </c:pt>
                <c:pt idx="57">
                  <c:v>1.6375040000000001</c:v>
                </c:pt>
                <c:pt idx="58">
                  <c:v>1.79792</c:v>
                </c:pt>
                <c:pt idx="59">
                  <c:v>2.523536</c:v>
                </c:pt>
                <c:pt idx="60">
                  <c:v>0.92561599999999999</c:v>
                </c:pt>
                <c:pt idx="61">
                  <c:v>0.83222399999999996</c:v>
                </c:pt>
                <c:pt idx="62">
                  <c:v>1.2796000000000001</c:v>
                </c:pt>
                <c:pt idx="63">
                  <c:v>2.1936559999999998</c:v>
                </c:pt>
                <c:pt idx="64">
                  <c:v>0.880992</c:v>
                </c:pt>
                <c:pt idx="65">
                  <c:v>1.4532719999999999</c:v>
                </c:pt>
                <c:pt idx="66">
                  <c:v>2.086992</c:v>
                </c:pt>
                <c:pt idx="67">
                  <c:v>1.522832</c:v>
                </c:pt>
                <c:pt idx="68">
                  <c:v>1.6340399999999999</c:v>
                </c:pt>
                <c:pt idx="69">
                  <c:v>0.60011199999999998</c:v>
                </c:pt>
                <c:pt idx="70">
                  <c:v>0.89308799999999999</c:v>
                </c:pt>
                <c:pt idx="71">
                  <c:v>0.90943200000000002</c:v>
                </c:pt>
                <c:pt idx="72">
                  <c:v>10.375472</c:v>
                </c:pt>
                <c:pt idx="73">
                  <c:v>2.6219199999999998</c:v>
                </c:pt>
                <c:pt idx="74">
                  <c:v>1.140976</c:v>
                </c:pt>
                <c:pt idx="75">
                  <c:v>3.3658480000000002</c:v>
                </c:pt>
                <c:pt idx="76">
                  <c:v>1.79996</c:v>
                </c:pt>
                <c:pt idx="77">
                  <c:v>3.7824800000000001</c:v>
                </c:pt>
                <c:pt idx="78">
                  <c:v>1.771808</c:v>
                </c:pt>
                <c:pt idx="79">
                  <c:v>1.620584</c:v>
                </c:pt>
                <c:pt idx="80">
                  <c:v>0.752</c:v>
                </c:pt>
                <c:pt idx="81">
                  <c:v>0.62468000000000001</c:v>
                </c:pt>
                <c:pt idx="82">
                  <c:v>2.5122879999999999</c:v>
                </c:pt>
                <c:pt idx="83">
                  <c:v>18.008655999999998</c:v>
                </c:pt>
                <c:pt idx="84">
                  <c:v>3.6593680000000002</c:v>
                </c:pt>
                <c:pt idx="85">
                  <c:v>29.940104000000002</c:v>
                </c:pt>
                <c:pt idx="86">
                  <c:v>4.0366720000000003</c:v>
                </c:pt>
                <c:pt idx="87">
                  <c:v>0.72807999999999995</c:v>
                </c:pt>
                <c:pt idx="88">
                  <c:v>1.4983919999999999</c:v>
                </c:pt>
                <c:pt idx="89">
                  <c:v>3.5516160000000001</c:v>
                </c:pt>
                <c:pt idx="90">
                  <c:v>2.58908</c:v>
                </c:pt>
                <c:pt idx="91">
                  <c:v>2.0384159999999998</c:v>
                </c:pt>
                <c:pt idx="92">
                  <c:v>1.63896</c:v>
                </c:pt>
                <c:pt idx="93">
                  <c:v>1.424072</c:v>
                </c:pt>
                <c:pt idx="94">
                  <c:v>5.1055919999999997</c:v>
                </c:pt>
                <c:pt idx="95">
                  <c:v>4.503088</c:v>
                </c:pt>
                <c:pt idx="96">
                  <c:v>2.4500639999999998</c:v>
                </c:pt>
                <c:pt idx="97">
                  <c:v>6.7796000000000003</c:v>
                </c:pt>
                <c:pt idx="98">
                  <c:v>3.1110159999999998</c:v>
                </c:pt>
                <c:pt idx="99">
                  <c:v>3.280424</c:v>
                </c:pt>
                <c:pt idx="100">
                  <c:v>0.88982399999999995</c:v>
                </c:pt>
                <c:pt idx="101">
                  <c:v>0.90832800000000002</c:v>
                </c:pt>
                <c:pt idx="102">
                  <c:v>7.1711119999999999</c:v>
                </c:pt>
                <c:pt idx="103">
                  <c:v>6.1206079999999998</c:v>
                </c:pt>
                <c:pt idx="104">
                  <c:v>2.0872799999999998</c:v>
                </c:pt>
                <c:pt idx="105">
                  <c:v>6.240456</c:v>
                </c:pt>
                <c:pt idx="106">
                  <c:v>1.5227040000000001</c:v>
                </c:pt>
                <c:pt idx="107">
                  <c:v>2.4870960000000002</c:v>
                </c:pt>
                <c:pt idx="108">
                  <c:v>1.0504</c:v>
                </c:pt>
                <c:pt idx="109">
                  <c:v>0.56455200000000005</c:v>
                </c:pt>
                <c:pt idx="110">
                  <c:v>1.5403439999999999</c:v>
                </c:pt>
                <c:pt idx="111">
                  <c:v>0.64188800000000001</c:v>
                </c:pt>
                <c:pt idx="112">
                  <c:v>0.91508800000000001</c:v>
                </c:pt>
                <c:pt idx="113">
                  <c:v>0.42642400000000003</c:v>
                </c:pt>
                <c:pt idx="114">
                  <c:v>1.057256</c:v>
                </c:pt>
                <c:pt idx="115">
                  <c:v>0.63978400000000002</c:v>
                </c:pt>
                <c:pt idx="116">
                  <c:v>0.37621599999999999</c:v>
                </c:pt>
                <c:pt idx="117">
                  <c:v>0.60211999999999999</c:v>
                </c:pt>
                <c:pt idx="118">
                  <c:v>1.276688</c:v>
                </c:pt>
                <c:pt idx="119">
                  <c:v>0.67230400000000001</c:v>
                </c:pt>
                <c:pt idx="120">
                  <c:v>0.81841600000000003</c:v>
                </c:pt>
                <c:pt idx="121">
                  <c:v>0.41783999999999999</c:v>
                </c:pt>
                <c:pt idx="122">
                  <c:v>0.82723199999999997</c:v>
                </c:pt>
                <c:pt idx="123">
                  <c:v>0.44291199999999997</c:v>
                </c:pt>
                <c:pt idx="124">
                  <c:v>0.62894399999999995</c:v>
                </c:pt>
                <c:pt idx="125">
                  <c:v>0.42913600000000002</c:v>
                </c:pt>
                <c:pt idx="126">
                  <c:v>0.75492800000000004</c:v>
                </c:pt>
                <c:pt idx="127">
                  <c:v>0.41636800000000002</c:v>
                </c:pt>
                <c:pt idx="128">
                  <c:v>0.62663199999999997</c:v>
                </c:pt>
                <c:pt idx="129">
                  <c:v>0.79512799999999995</c:v>
                </c:pt>
                <c:pt idx="130">
                  <c:v>0.71363200000000004</c:v>
                </c:pt>
                <c:pt idx="131">
                  <c:v>0.43672800000000001</c:v>
                </c:pt>
                <c:pt idx="132">
                  <c:v>0.87383999999999995</c:v>
                </c:pt>
                <c:pt idx="133">
                  <c:v>0.71465599999999996</c:v>
                </c:pt>
                <c:pt idx="134">
                  <c:v>0.77904799999999996</c:v>
                </c:pt>
                <c:pt idx="135">
                  <c:v>0.68552000000000002</c:v>
                </c:pt>
                <c:pt idx="136">
                  <c:v>0.51425600000000005</c:v>
                </c:pt>
                <c:pt idx="137">
                  <c:v>1.149824</c:v>
                </c:pt>
                <c:pt idx="138">
                  <c:v>1.164784</c:v>
                </c:pt>
                <c:pt idx="139">
                  <c:v>0.61746400000000001</c:v>
                </c:pt>
                <c:pt idx="140">
                  <c:v>0.45100800000000002</c:v>
                </c:pt>
                <c:pt idx="141">
                  <c:v>0.37293599999999999</c:v>
                </c:pt>
                <c:pt idx="142">
                  <c:v>0.90694399999999997</c:v>
                </c:pt>
                <c:pt idx="143">
                  <c:v>0.46205600000000002</c:v>
                </c:pt>
                <c:pt idx="144">
                  <c:v>0.44120799999999999</c:v>
                </c:pt>
                <c:pt idx="145">
                  <c:v>0.34288800000000003</c:v>
                </c:pt>
                <c:pt idx="146">
                  <c:v>0.44587199999999999</c:v>
                </c:pt>
                <c:pt idx="147">
                  <c:v>0.25668800000000003</c:v>
                </c:pt>
                <c:pt idx="148">
                  <c:v>0.33341599999999999</c:v>
                </c:pt>
                <c:pt idx="149">
                  <c:v>0.32858399999999999</c:v>
                </c:pt>
                <c:pt idx="150">
                  <c:v>2.5106799999999998</c:v>
                </c:pt>
                <c:pt idx="151">
                  <c:v>0.63006399999999996</c:v>
                </c:pt>
                <c:pt idx="152">
                  <c:v>0.92725599999999997</c:v>
                </c:pt>
                <c:pt idx="153">
                  <c:v>1.8100799999999999</c:v>
                </c:pt>
                <c:pt idx="154">
                  <c:v>1.9472879999999999</c:v>
                </c:pt>
                <c:pt idx="155">
                  <c:v>1.0883119999999999</c:v>
                </c:pt>
                <c:pt idx="156">
                  <c:v>1.01092</c:v>
                </c:pt>
                <c:pt idx="157">
                  <c:v>0.55847999999999998</c:v>
                </c:pt>
                <c:pt idx="158">
                  <c:v>0.82405600000000001</c:v>
                </c:pt>
                <c:pt idx="159">
                  <c:v>1.05348</c:v>
                </c:pt>
                <c:pt idx="160">
                  <c:v>0.87404000000000004</c:v>
                </c:pt>
                <c:pt idx="161">
                  <c:v>0.87580800000000003</c:v>
                </c:pt>
                <c:pt idx="162">
                  <c:v>1.005584</c:v>
                </c:pt>
                <c:pt idx="163">
                  <c:v>0.44276799999999999</c:v>
                </c:pt>
                <c:pt idx="164">
                  <c:v>0.70079999999999998</c:v>
                </c:pt>
                <c:pt idx="165">
                  <c:v>0.98263199999999995</c:v>
                </c:pt>
                <c:pt idx="166">
                  <c:v>0.86335200000000001</c:v>
                </c:pt>
                <c:pt idx="167">
                  <c:v>1.6715679999999999</c:v>
                </c:pt>
                <c:pt idx="168">
                  <c:v>0.62375999999999998</c:v>
                </c:pt>
                <c:pt idx="169">
                  <c:v>0.56947199999999998</c:v>
                </c:pt>
                <c:pt idx="170">
                  <c:v>1.3755919999999999</c:v>
                </c:pt>
                <c:pt idx="171">
                  <c:v>7.3527279999999999</c:v>
                </c:pt>
                <c:pt idx="172">
                  <c:v>0.651976</c:v>
                </c:pt>
                <c:pt idx="173">
                  <c:v>0.72810399999999997</c:v>
                </c:pt>
                <c:pt idx="174">
                  <c:v>1.1128</c:v>
                </c:pt>
                <c:pt idx="175">
                  <c:v>3.2861760000000002</c:v>
                </c:pt>
                <c:pt idx="176">
                  <c:v>1.7904960000000001</c:v>
                </c:pt>
                <c:pt idx="177">
                  <c:v>1.7309680000000001</c:v>
                </c:pt>
                <c:pt idx="178">
                  <c:v>1.126744</c:v>
                </c:pt>
                <c:pt idx="179">
                  <c:v>0.99512</c:v>
                </c:pt>
                <c:pt idx="180">
                  <c:v>2.5543840000000002</c:v>
                </c:pt>
                <c:pt idx="181">
                  <c:v>1.3076639999999999</c:v>
                </c:pt>
                <c:pt idx="182">
                  <c:v>6.1806720000000004</c:v>
                </c:pt>
                <c:pt idx="183">
                  <c:v>14.8248</c:v>
                </c:pt>
                <c:pt idx="184">
                  <c:v>5.3416319999999997</c:v>
                </c:pt>
                <c:pt idx="185">
                  <c:v>2.909192</c:v>
                </c:pt>
                <c:pt idx="186">
                  <c:v>2.1221199999999998</c:v>
                </c:pt>
                <c:pt idx="187">
                  <c:v>7.5892720000000002</c:v>
                </c:pt>
                <c:pt idx="188">
                  <c:v>1.9019600000000001</c:v>
                </c:pt>
                <c:pt idx="189">
                  <c:v>6.6312800000000003</c:v>
                </c:pt>
                <c:pt idx="190">
                  <c:v>2.0883280000000002</c:v>
                </c:pt>
                <c:pt idx="191">
                  <c:v>9.3637840000000008</c:v>
                </c:pt>
                <c:pt idx="192">
                  <c:v>6.0417040000000002</c:v>
                </c:pt>
                <c:pt idx="193">
                  <c:v>3.8237519999999998</c:v>
                </c:pt>
                <c:pt idx="194">
                  <c:v>2.146112</c:v>
                </c:pt>
                <c:pt idx="195">
                  <c:v>1.2692639999999999</c:v>
                </c:pt>
                <c:pt idx="196">
                  <c:v>2.2071519999999998</c:v>
                </c:pt>
                <c:pt idx="197">
                  <c:v>2.822168</c:v>
                </c:pt>
                <c:pt idx="198">
                  <c:v>1.8919919999999999</c:v>
                </c:pt>
                <c:pt idx="199">
                  <c:v>2.9072</c:v>
                </c:pt>
                <c:pt idx="200">
                  <c:v>2.1783679999999999</c:v>
                </c:pt>
                <c:pt idx="201">
                  <c:v>2.2674560000000001</c:v>
                </c:pt>
                <c:pt idx="202">
                  <c:v>2.8939759999999999</c:v>
                </c:pt>
                <c:pt idx="203">
                  <c:v>1.566424</c:v>
                </c:pt>
                <c:pt idx="204">
                  <c:v>2.8879920000000001</c:v>
                </c:pt>
                <c:pt idx="205">
                  <c:v>1.7516879999999999</c:v>
                </c:pt>
                <c:pt idx="206">
                  <c:v>2.6503359999999998</c:v>
                </c:pt>
                <c:pt idx="207">
                  <c:v>3.0681600000000002</c:v>
                </c:pt>
                <c:pt idx="208">
                  <c:v>2.9179599999999999</c:v>
                </c:pt>
                <c:pt idx="209">
                  <c:v>2.3321040000000002</c:v>
                </c:pt>
                <c:pt idx="210">
                  <c:v>2.262032</c:v>
                </c:pt>
                <c:pt idx="211">
                  <c:v>2.4132639999999999</c:v>
                </c:pt>
                <c:pt idx="212">
                  <c:v>1.3386640000000001</c:v>
                </c:pt>
                <c:pt idx="213">
                  <c:v>3.6973280000000002</c:v>
                </c:pt>
                <c:pt idx="214">
                  <c:v>2.6336560000000002</c:v>
                </c:pt>
                <c:pt idx="215">
                  <c:v>2.984864</c:v>
                </c:pt>
                <c:pt idx="216">
                  <c:v>2.2723680000000002</c:v>
                </c:pt>
                <c:pt idx="217">
                  <c:v>2.8069280000000001</c:v>
                </c:pt>
                <c:pt idx="218">
                  <c:v>14.246536000000001</c:v>
                </c:pt>
                <c:pt idx="219">
                  <c:v>10.013768000000001</c:v>
                </c:pt>
                <c:pt idx="220">
                  <c:v>9.0182719999999996</c:v>
                </c:pt>
                <c:pt idx="221">
                  <c:v>3.8458239999999999</c:v>
                </c:pt>
                <c:pt idx="222">
                  <c:v>2.2959999999999998</c:v>
                </c:pt>
                <c:pt idx="223">
                  <c:v>1.8355600000000001</c:v>
                </c:pt>
                <c:pt idx="224">
                  <c:v>2.7710080000000001</c:v>
                </c:pt>
                <c:pt idx="225">
                  <c:v>2.0190000000000001</c:v>
                </c:pt>
                <c:pt idx="226">
                  <c:v>2.8320560000000001</c:v>
                </c:pt>
                <c:pt idx="227">
                  <c:v>3.5153840000000001</c:v>
                </c:pt>
                <c:pt idx="228">
                  <c:v>2.3046000000000002</c:v>
                </c:pt>
                <c:pt idx="229">
                  <c:v>4.2754479999999999</c:v>
                </c:pt>
                <c:pt idx="230">
                  <c:v>2.9219919999999999</c:v>
                </c:pt>
                <c:pt idx="231">
                  <c:v>2.251344</c:v>
                </c:pt>
                <c:pt idx="232">
                  <c:v>2.390072</c:v>
                </c:pt>
                <c:pt idx="233">
                  <c:v>1.973096</c:v>
                </c:pt>
                <c:pt idx="234">
                  <c:v>1.2134400000000001</c:v>
                </c:pt>
                <c:pt idx="235">
                  <c:v>0.65589600000000003</c:v>
                </c:pt>
                <c:pt idx="236">
                  <c:v>0.52777600000000002</c:v>
                </c:pt>
                <c:pt idx="237">
                  <c:v>0.35127199999999997</c:v>
                </c:pt>
                <c:pt idx="238">
                  <c:v>0.74017599999999995</c:v>
                </c:pt>
                <c:pt idx="239">
                  <c:v>5.8169599999999999</c:v>
                </c:pt>
                <c:pt idx="240">
                  <c:v>0.79657599999999995</c:v>
                </c:pt>
                <c:pt idx="241">
                  <c:v>1.0906880000000001</c:v>
                </c:pt>
                <c:pt idx="242">
                  <c:v>0.98026400000000002</c:v>
                </c:pt>
                <c:pt idx="243">
                  <c:v>1.5665199999999999</c:v>
                </c:pt>
                <c:pt idx="244">
                  <c:v>1.910072</c:v>
                </c:pt>
                <c:pt idx="245">
                  <c:v>2.4478960000000001</c:v>
                </c:pt>
                <c:pt idx="246">
                  <c:v>2.2464559999999998</c:v>
                </c:pt>
                <c:pt idx="247">
                  <c:v>0.52556800000000004</c:v>
                </c:pt>
                <c:pt idx="248">
                  <c:v>2.1633119999999999</c:v>
                </c:pt>
                <c:pt idx="249">
                  <c:v>1.339232</c:v>
                </c:pt>
                <c:pt idx="250">
                  <c:v>2.4884719999999998</c:v>
                </c:pt>
                <c:pt idx="251">
                  <c:v>2.9456319999999998</c:v>
                </c:pt>
                <c:pt idx="252">
                  <c:v>1.238896</c:v>
                </c:pt>
                <c:pt idx="253">
                  <c:v>2.8557920000000001</c:v>
                </c:pt>
                <c:pt idx="254">
                  <c:v>2.15516</c:v>
                </c:pt>
                <c:pt idx="255">
                  <c:v>3.7041279999999999</c:v>
                </c:pt>
                <c:pt idx="256">
                  <c:v>1.230672</c:v>
                </c:pt>
                <c:pt idx="257">
                  <c:v>2.5256799999999999</c:v>
                </c:pt>
                <c:pt idx="258">
                  <c:v>5.5686559999999998</c:v>
                </c:pt>
                <c:pt idx="259">
                  <c:v>3.3120479999999999</c:v>
                </c:pt>
                <c:pt idx="260">
                  <c:v>5.6795200000000001</c:v>
                </c:pt>
                <c:pt idx="261">
                  <c:v>7.4361839999999999</c:v>
                </c:pt>
                <c:pt idx="262">
                  <c:v>3.1684640000000002</c:v>
                </c:pt>
                <c:pt idx="263">
                  <c:v>3.870768</c:v>
                </c:pt>
                <c:pt idx="264">
                  <c:v>1.8851359999999999</c:v>
                </c:pt>
                <c:pt idx="265">
                  <c:v>2.4723359999999999</c:v>
                </c:pt>
                <c:pt idx="266">
                  <c:v>2.90672</c:v>
                </c:pt>
                <c:pt idx="267">
                  <c:v>2.1614719999999998</c:v>
                </c:pt>
                <c:pt idx="268">
                  <c:v>2.0123760000000002</c:v>
                </c:pt>
                <c:pt idx="269">
                  <c:v>2.0962640000000001</c:v>
                </c:pt>
                <c:pt idx="270">
                  <c:v>2.0673599999999999</c:v>
                </c:pt>
                <c:pt idx="271">
                  <c:v>1.310432</c:v>
                </c:pt>
                <c:pt idx="272">
                  <c:v>0.70858399999999999</c:v>
                </c:pt>
                <c:pt idx="273">
                  <c:v>2.790864</c:v>
                </c:pt>
                <c:pt idx="274">
                  <c:v>12.234816</c:v>
                </c:pt>
                <c:pt idx="275">
                  <c:v>2.0139200000000002</c:v>
                </c:pt>
                <c:pt idx="276">
                  <c:v>2.5586720000000001</c:v>
                </c:pt>
                <c:pt idx="277">
                  <c:v>3.2168480000000002</c:v>
                </c:pt>
                <c:pt idx="278">
                  <c:v>2.518872</c:v>
                </c:pt>
                <c:pt idx="279">
                  <c:v>2.297072</c:v>
                </c:pt>
                <c:pt idx="280">
                  <c:v>1.8413120000000001</c:v>
                </c:pt>
                <c:pt idx="281">
                  <c:v>1.4747760000000001</c:v>
                </c:pt>
                <c:pt idx="282">
                  <c:v>2.3191440000000001</c:v>
                </c:pt>
                <c:pt idx="283">
                  <c:v>2.4450400000000001</c:v>
                </c:pt>
                <c:pt idx="284">
                  <c:v>3.0104320000000002</c:v>
                </c:pt>
                <c:pt idx="285">
                  <c:v>2.9928080000000001</c:v>
                </c:pt>
                <c:pt idx="286">
                  <c:v>3.0320480000000001</c:v>
                </c:pt>
                <c:pt idx="287">
                  <c:v>3.9178320000000002</c:v>
                </c:pt>
                <c:pt idx="288">
                  <c:v>1.40368</c:v>
                </c:pt>
                <c:pt idx="289">
                  <c:v>2.1839520000000001</c:v>
                </c:pt>
                <c:pt idx="290">
                  <c:v>1.2990159999999999</c:v>
                </c:pt>
                <c:pt idx="291">
                  <c:v>1.5647519999999999</c:v>
                </c:pt>
                <c:pt idx="292">
                  <c:v>2.563536</c:v>
                </c:pt>
                <c:pt idx="293">
                  <c:v>2.8462480000000001</c:v>
                </c:pt>
                <c:pt idx="294">
                  <c:v>3.2653120000000002</c:v>
                </c:pt>
                <c:pt idx="295">
                  <c:v>1.955768</c:v>
                </c:pt>
                <c:pt idx="296">
                  <c:v>2.297504</c:v>
                </c:pt>
                <c:pt idx="297">
                  <c:v>2.5988959999999999</c:v>
                </c:pt>
                <c:pt idx="298">
                  <c:v>2.7028799999999999</c:v>
                </c:pt>
                <c:pt idx="299">
                  <c:v>2.5568080000000002</c:v>
                </c:pt>
                <c:pt idx="300">
                  <c:v>1.421848</c:v>
                </c:pt>
                <c:pt idx="301">
                  <c:v>1.8025599999999999</c:v>
                </c:pt>
                <c:pt idx="302">
                  <c:v>1.4819439999999999</c:v>
                </c:pt>
                <c:pt idx="303">
                  <c:v>1.3351280000000001</c:v>
                </c:pt>
                <c:pt idx="304">
                  <c:v>3.6247919999999998</c:v>
                </c:pt>
                <c:pt idx="305">
                  <c:v>2.2277680000000002</c:v>
                </c:pt>
                <c:pt idx="306">
                  <c:v>2.7239040000000001</c:v>
                </c:pt>
                <c:pt idx="307">
                  <c:v>2.4891040000000002</c:v>
                </c:pt>
                <c:pt idx="308">
                  <c:v>1.0054959999999999</c:v>
                </c:pt>
                <c:pt idx="309">
                  <c:v>2.2063440000000001</c:v>
                </c:pt>
                <c:pt idx="310">
                  <c:v>2.4922080000000002</c:v>
                </c:pt>
                <c:pt idx="311">
                  <c:v>2.1218880000000002</c:v>
                </c:pt>
                <c:pt idx="312">
                  <c:v>2.0949840000000002</c:v>
                </c:pt>
                <c:pt idx="313">
                  <c:v>1.888368</c:v>
                </c:pt>
                <c:pt idx="314">
                  <c:v>2.6838639999999998</c:v>
                </c:pt>
                <c:pt idx="315">
                  <c:v>2.225784</c:v>
                </c:pt>
                <c:pt idx="316">
                  <c:v>2.6716319999999998</c:v>
                </c:pt>
                <c:pt idx="317">
                  <c:v>2.8410959999999998</c:v>
                </c:pt>
                <c:pt idx="318">
                  <c:v>2.6152160000000002</c:v>
                </c:pt>
                <c:pt idx="319">
                  <c:v>1.7922800000000001</c:v>
                </c:pt>
                <c:pt idx="320">
                  <c:v>7.5817119999999996</c:v>
                </c:pt>
                <c:pt idx="321">
                  <c:v>3.107272</c:v>
                </c:pt>
                <c:pt idx="322">
                  <c:v>1.7981039999999999</c:v>
                </c:pt>
                <c:pt idx="323">
                  <c:v>1.619688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9-4767-8D0B-1FE6BBA26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054864"/>
        <c:axId val="1764055344"/>
      </c:lineChart>
      <c:catAx>
        <c:axId val="1764054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055344"/>
        <c:crosses val="autoZero"/>
        <c:auto val="1"/>
        <c:lblAlgn val="ctr"/>
        <c:lblOffset val="100"/>
        <c:noMultiLvlLbl val="0"/>
      </c:catAx>
      <c:valAx>
        <c:axId val="1764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05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Суммарный трафик, Мбит/мин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Лист1!$Y$1:$Y$324</c:f>
              <c:numCache>
                <c:formatCode>General</c:formatCode>
                <c:ptCount val="324"/>
                <c:pt idx="0">
                  <c:v>1.006176</c:v>
                </c:pt>
                <c:pt idx="1">
                  <c:v>6.8288159999999998</c:v>
                </c:pt>
                <c:pt idx="2">
                  <c:v>22.583136</c:v>
                </c:pt>
                <c:pt idx="3">
                  <c:v>21.734760000000001</c:v>
                </c:pt>
                <c:pt idx="4">
                  <c:v>1.859</c:v>
                </c:pt>
                <c:pt idx="5">
                  <c:v>1.4914160000000001</c:v>
                </c:pt>
                <c:pt idx="6">
                  <c:v>363.71508799999998</c:v>
                </c:pt>
                <c:pt idx="7">
                  <c:v>6.5310879999999996</c:v>
                </c:pt>
                <c:pt idx="8">
                  <c:v>2.4923280000000001</c:v>
                </c:pt>
                <c:pt idx="9">
                  <c:v>26.126864000000001</c:v>
                </c:pt>
                <c:pt idx="10">
                  <c:v>188.3364</c:v>
                </c:pt>
                <c:pt idx="11">
                  <c:v>488.23691200000002</c:v>
                </c:pt>
                <c:pt idx="12">
                  <c:v>24.721976000000002</c:v>
                </c:pt>
                <c:pt idx="13">
                  <c:v>45.473576000000001</c:v>
                </c:pt>
                <c:pt idx="14">
                  <c:v>42.248016</c:v>
                </c:pt>
                <c:pt idx="15">
                  <c:v>62.691336</c:v>
                </c:pt>
                <c:pt idx="16">
                  <c:v>23.026744000000001</c:v>
                </c:pt>
                <c:pt idx="17">
                  <c:v>47.105432</c:v>
                </c:pt>
                <c:pt idx="18">
                  <c:v>41.692391999999998</c:v>
                </c:pt>
                <c:pt idx="19">
                  <c:v>49.957239999999999</c:v>
                </c:pt>
                <c:pt idx="20">
                  <c:v>291.15344800000003</c:v>
                </c:pt>
                <c:pt idx="21">
                  <c:v>288.04656799999998</c:v>
                </c:pt>
                <c:pt idx="22">
                  <c:v>206.13546400000001</c:v>
                </c:pt>
                <c:pt idx="23">
                  <c:v>180.18981600000001</c:v>
                </c:pt>
                <c:pt idx="24">
                  <c:v>431.82279199999999</c:v>
                </c:pt>
                <c:pt idx="25">
                  <c:v>388.39781599999998</c:v>
                </c:pt>
                <c:pt idx="26">
                  <c:v>284.753488</c:v>
                </c:pt>
                <c:pt idx="27">
                  <c:v>316.36220800000001</c:v>
                </c:pt>
                <c:pt idx="28">
                  <c:v>102.30768</c:v>
                </c:pt>
                <c:pt idx="29">
                  <c:v>285.29371200000003</c:v>
                </c:pt>
                <c:pt idx="30">
                  <c:v>138.397096</c:v>
                </c:pt>
                <c:pt idx="31">
                  <c:v>87.291424000000006</c:v>
                </c:pt>
                <c:pt idx="32">
                  <c:v>25.631855999999999</c:v>
                </c:pt>
                <c:pt idx="33">
                  <c:v>439.38093600000002</c:v>
                </c:pt>
                <c:pt idx="34">
                  <c:v>296.53301599999998</c:v>
                </c:pt>
                <c:pt idx="35">
                  <c:v>384.52475199999998</c:v>
                </c:pt>
                <c:pt idx="36">
                  <c:v>137.451752</c:v>
                </c:pt>
                <c:pt idx="37">
                  <c:v>83.987272000000004</c:v>
                </c:pt>
                <c:pt idx="38">
                  <c:v>35.863064000000001</c:v>
                </c:pt>
                <c:pt idx="39">
                  <c:v>283.50986399999999</c:v>
                </c:pt>
                <c:pt idx="40">
                  <c:v>296.506688</c:v>
                </c:pt>
                <c:pt idx="41">
                  <c:v>438.69443999999999</c:v>
                </c:pt>
                <c:pt idx="42">
                  <c:v>241.96432799999999</c:v>
                </c:pt>
                <c:pt idx="43">
                  <c:v>239.17868799999999</c:v>
                </c:pt>
                <c:pt idx="44">
                  <c:v>357.01029599999998</c:v>
                </c:pt>
                <c:pt idx="45">
                  <c:v>261.85560800000002</c:v>
                </c:pt>
                <c:pt idx="46">
                  <c:v>139.24619999999999</c:v>
                </c:pt>
                <c:pt idx="47">
                  <c:v>55.774839999999998</c:v>
                </c:pt>
                <c:pt idx="48">
                  <c:v>82.644440000000003</c:v>
                </c:pt>
                <c:pt idx="49">
                  <c:v>387.168296</c:v>
                </c:pt>
                <c:pt idx="50">
                  <c:v>290.78981599999997</c:v>
                </c:pt>
                <c:pt idx="51">
                  <c:v>443.68841600000002</c:v>
                </c:pt>
                <c:pt idx="52">
                  <c:v>45.270192000000002</c:v>
                </c:pt>
                <c:pt idx="53">
                  <c:v>26.839583999999999</c:v>
                </c:pt>
                <c:pt idx="54">
                  <c:v>169.77141599999999</c:v>
                </c:pt>
                <c:pt idx="55">
                  <c:v>293.68187999999998</c:v>
                </c:pt>
                <c:pt idx="56">
                  <c:v>434.34717599999999</c:v>
                </c:pt>
                <c:pt idx="57">
                  <c:v>261.00145600000002</c:v>
                </c:pt>
                <c:pt idx="58">
                  <c:v>325.30906399999998</c:v>
                </c:pt>
                <c:pt idx="59">
                  <c:v>362.65766400000001</c:v>
                </c:pt>
                <c:pt idx="60">
                  <c:v>62.298439999999999</c:v>
                </c:pt>
                <c:pt idx="61">
                  <c:v>85.605968000000004</c:v>
                </c:pt>
                <c:pt idx="62">
                  <c:v>161.89591999999999</c:v>
                </c:pt>
                <c:pt idx="63">
                  <c:v>356.44796000000002</c:v>
                </c:pt>
                <c:pt idx="64">
                  <c:v>155.631248</c:v>
                </c:pt>
                <c:pt idx="65">
                  <c:v>253.204072</c:v>
                </c:pt>
                <c:pt idx="66">
                  <c:v>350.612032</c:v>
                </c:pt>
                <c:pt idx="67">
                  <c:v>199.53399200000001</c:v>
                </c:pt>
                <c:pt idx="68">
                  <c:v>219.23638399999999</c:v>
                </c:pt>
                <c:pt idx="69">
                  <c:v>41.016288000000003</c:v>
                </c:pt>
                <c:pt idx="70">
                  <c:v>23.189688</c:v>
                </c:pt>
                <c:pt idx="71">
                  <c:v>69.714472000000001</c:v>
                </c:pt>
                <c:pt idx="72">
                  <c:v>202.972576</c:v>
                </c:pt>
                <c:pt idx="73">
                  <c:v>10.209960000000001</c:v>
                </c:pt>
                <c:pt idx="74">
                  <c:v>2.704456</c:v>
                </c:pt>
                <c:pt idx="75">
                  <c:v>6.0608399999999998</c:v>
                </c:pt>
                <c:pt idx="76">
                  <c:v>3.0565600000000002</c:v>
                </c:pt>
                <c:pt idx="77">
                  <c:v>4.8819039999999996</c:v>
                </c:pt>
                <c:pt idx="78">
                  <c:v>3.272824</c:v>
                </c:pt>
                <c:pt idx="79">
                  <c:v>4.535736</c:v>
                </c:pt>
                <c:pt idx="80">
                  <c:v>2.5515279999999998</c:v>
                </c:pt>
                <c:pt idx="81">
                  <c:v>1.5109440000000001</c:v>
                </c:pt>
                <c:pt idx="82">
                  <c:v>17.501376</c:v>
                </c:pt>
                <c:pt idx="83">
                  <c:v>24.695271999999999</c:v>
                </c:pt>
                <c:pt idx="84">
                  <c:v>95.299344000000005</c:v>
                </c:pt>
                <c:pt idx="85">
                  <c:v>82.819631999999999</c:v>
                </c:pt>
                <c:pt idx="86">
                  <c:v>57.538400000000003</c:v>
                </c:pt>
                <c:pt idx="87">
                  <c:v>1.45252</c:v>
                </c:pt>
                <c:pt idx="88">
                  <c:v>3.8089119999999999</c:v>
                </c:pt>
                <c:pt idx="89">
                  <c:v>5.4467359999999996</c:v>
                </c:pt>
                <c:pt idx="90">
                  <c:v>4.8070719999999998</c:v>
                </c:pt>
                <c:pt idx="91">
                  <c:v>3.5013679999999998</c:v>
                </c:pt>
                <c:pt idx="92">
                  <c:v>3.2863039999999999</c:v>
                </c:pt>
                <c:pt idx="93">
                  <c:v>3.764688</c:v>
                </c:pt>
                <c:pt idx="94">
                  <c:v>7.8677520000000003</c:v>
                </c:pt>
                <c:pt idx="95">
                  <c:v>6.9676640000000001</c:v>
                </c:pt>
                <c:pt idx="96">
                  <c:v>3.8516720000000002</c:v>
                </c:pt>
                <c:pt idx="97">
                  <c:v>22.094256000000001</c:v>
                </c:pt>
                <c:pt idx="98">
                  <c:v>7.5014159999999999</c:v>
                </c:pt>
                <c:pt idx="99">
                  <c:v>4.9375600000000004</c:v>
                </c:pt>
                <c:pt idx="100">
                  <c:v>1.6936800000000001</c:v>
                </c:pt>
                <c:pt idx="101">
                  <c:v>1.741592</c:v>
                </c:pt>
                <c:pt idx="102">
                  <c:v>44.580559999999998</c:v>
                </c:pt>
                <c:pt idx="103">
                  <c:v>149.95403999999999</c:v>
                </c:pt>
                <c:pt idx="104">
                  <c:v>13.772648</c:v>
                </c:pt>
                <c:pt idx="105">
                  <c:v>32.316136</c:v>
                </c:pt>
                <c:pt idx="106">
                  <c:v>4.2570639999999997</c:v>
                </c:pt>
                <c:pt idx="107">
                  <c:v>3.7992560000000002</c:v>
                </c:pt>
                <c:pt idx="108">
                  <c:v>2.7355360000000002</c:v>
                </c:pt>
                <c:pt idx="109">
                  <c:v>1.277048</c:v>
                </c:pt>
                <c:pt idx="110">
                  <c:v>3.8966080000000001</c:v>
                </c:pt>
                <c:pt idx="111">
                  <c:v>1.8551599999999999</c:v>
                </c:pt>
                <c:pt idx="112">
                  <c:v>1.939856</c:v>
                </c:pt>
                <c:pt idx="113">
                  <c:v>1.1902239999999999</c:v>
                </c:pt>
                <c:pt idx="114">
                  <c:v>3.3211919999999999</c:v>
                </c:pt>
                <c:pt idx="115">
                  <c:v>1.603936</c:v>
                </c:pt>
                <c:pt idx="116">
                  <c:v>0.83376799999999995</c:v>
                </c:pt>
                <c:pt idx="117">
                  <c:v>1.411648</c:v>
                </c:pt>
                <c:pt idx="118">
                  <c:v>3.1355840000000001</c:v>
                </c:pt>
                <c:pt idx="119">
                  <c:v>2.1124559999999999</c:v>
                </c:pt>
                <c:pt idx="120">
                  <c:v>1.746456</c:v>
                </c:pt>
                <c:pt idx="121">
                  <c:v>1.010864</c:v>
                </c:pt>
                <c:pt idx="122">
                  <c:v>2.0911680000000001</c:v>
                </c:pt>
                <c:pt idx="123">
                  <c:v>1.0107280000000001</c:v>
                </c:pt>
                <c:pt idx="124">
                  <c:v>2.2938800000000001</c:v>
                </c:pt>
                <c:pt idx="125">
                  <c:v>1.144776</c:v>
                </c:pt>
                <c:pt idx="126">
                  <c:v>1.9130720000000001</c:v>
                </c:pt>
                <c:pt idx="127">
                  <c:v>0.908416</c:v>
                </c:pt>
                <c:pt idx="128">
                  <c:v>1.468488</c:v>
                </c:pt>
                <c:pt idx="129">
                  <c:v>2.5793360000000001</c:v>
                </c:pt>
                <c:pt idx="130">
                  <c:v>1.711608</c:v>
                </c:pt>
                <c:pt idx="131">
                  <c:v>1.047328</c:v>
                </c:pt>
                <c:pt idx="132">
                  <c:v>2.1468400000000001</c:v>
                </c:pt>
                <c:pt idx="133">
                  <c:v>1.736928</c:v>
                </c:pt>
                <c:pt idx="134">
                  <c:v>2.5898639999999999</c:v>
                </c:pt>
                <c:pt idx="135">
                  <c:v>1.8353360000000001</c:v>
                </c:pt>
                <c:pt idx="136">
                  <c:v>1.3589439999999999</c:v>
                </c:pt>
                <c:pt idx="137">
                  <c:v>1.778448</c:v>
                </c:pt>
                <c:pt idx="138">
                  <c:v>2.5498159999999999</c:v>
                </c:pt>
                <c:pt idx="139">
                  <c:v>1.9112800000000001</c:v>
                </c:pt>
                <c:pt idx="140">
                  <c:v>0.99109599999999998</c:v>
                </c:pt>
                <c:pt idx="141">
                  <c:v>0.88855200000000001</c:v>
                </c:pt>
                <c:pt idx="142">
                  <c:v>2.0380319999999998</c:v>
                </c:pt>
                <c:pt idx="143">
                  <c:v>1.387416</c:v>
                </c:pt>
                <c:pt idx="144">
                  <c:v>1.9996640000000001</c:v>
                </c:pt>
                <c:pt idx="145">
                  <c:v>0.95533599999999996</c:v>
                </c:pt>
                <c:pt idx="146">
                  <c:v>1.2712399999999999</c:v>
                </c:pt>
                <c:pt idx="147">
                  <c:v>0.74365599999999998</c:v>
                </c:pt>
                <c:pt idx="148">
                  <c:v>1.043056</c:v>
                </c:pt>
                <c:pt idx="149">
                  <c:v>1.433848</c:v>
                </c:pt>
                <c:pt idx="150">
                  <c:v>5.9512720000000003</c:v>
                </c:pt>
                <c:pt idx="151">
                  <c:v>1.7219519999999999</c:v>
                </c:pt>
                <c:pt idx="152">
                  <c:v>1.9264559999999999</c:v>
                </c:pt>
                <c:pt idx="153">
                  <c:v>3.3480080000000001</c:v>
                </c:pt>
                <c:pt idx="154">
                  <c:v>4.663888</c:v>
                </c:pt>
                <c:pt idx="155">
                  <c:v>2.5472320000000002</c:v>
                </c:pt>
                <c:pt idx="156">
                  <c:v>2.825472</c:v>
                </c:pt>
                <c:pt idx="157">
                  <c:v>1.5074559999999999</c:v>
                </c:pt>
                <c:pt idx="158">
                  <c:v>2.0900639999999999</c:v>
                </c:pt>
                <c:pt idx="159">
                  <c:v>3.1464240000000001</c:v>
                </c:pt>
                <c:pt idx="160">
                  <c:v>4.5682159999999996</c:v>
                </c:pt>
                <c:pt idx="161">
                  <c:v>3.7451120000000002</c:v>
                </c:pt>
                <c:pt idx="162">
                  <c:v>15.099736</c:v>
                </c:pt>
                <c:pt idx="163">
                  <c:v>1.122752</c:v>
                </c:pt>
                <c:pt idx="164">
                  <c:v>2.211128</c:v>
                </c:pt>
                <c:pt idx="165">
                  <c:v>2.1591520000000002</c:v>
                </c:pt>
                <c:pt idx="166">
                  <c:v>3.6564640000000002</c:v>
                </c:pt>
                <c:pt idx="167">
                  <c:v>2.6225999999999998</c:v>
                </c:pt>
                <c:pt idx="168">
                  <c:v>1.6233839999999999</c:v>
                </c:pt>
                <c:pt idx="169">
                  <c:v>2.0340159999999998</c:v>
                </c:pt>
                <c:pt idx="170">
                  <c:v>5.7520800000000003</c:v>
                </c:pt>
                <c:pt idx="171">
                  <c:v>18.381879999999999</c:v>
                </c:pt>
                <c:pt idx="172">
                  <c:v>1.22376</c:v>
                </c:pt>
                <c:pt idx="173">
                  <c:v>1.6857120000000001</c:v>
                </c:pt>
                <c:pt idx="174">
                  <c:v>3.3075760000000001</c:v>
                </c:pt>
                <c:pt idx="175">
                  <c:v>7.284008</c:v>
                </c:pt>
                <c:pt idx="176">
                  <c:v>4.0515040000000004</c:v>
                </c:pt>
                <c:pt idx="177">
                  <c:v>8.3470879999999994</c:v>
                </c:pt>
                <c:pt idx="178">
                  <c:v>2.5629279999999999</c:v>
                </c:pt>
                <c:pt idx="179">
                  <c:v>2.9026320000000001</c:v>
                </c:pt>
                <c:pt idx="180">
                  <c:v>4.3487280000000004</c:v>
                </c:pt>
                <c:pt idx="181">
                  <c:v>2.8606159999999998</c:v>
                </c:pt>
                <c:pt idx="182">
                  <c:v>10.089880000000001</c:v>
                </c:pt>
                <c:pt idx="183">
                  <c:v>136.02594400000001</c:v>
                </c:pt>
                <c:pt idx="184">
                  <c:v>153.90785600000001</c:v>
                </c:pt>
                <c:pt idx="185">
                  <c:v>4.8065600000000002</c:v>
                </c:pt>
                <c:pt idx="186">
                  <c:v>3.6948479999999999</c:v>
                </c:pt>
                <c:pt idx="187">
                  <c:v>10.718112</c:v>
                </c:pt>
                <c:pt idx="188">
                  <c:v>3.507816</c:v>
                </c:pt>
                <c:pt idx="189">
                  <c:v>39.920535999999998</c:v>
                </c:pt>
                <c:pt idx="190">
                  <c:v>22.637808</c:v>
                </c:pt>
                <c:pt idx="191">
                  <c:v>99.568991999999994</c:v>
                </c:pt>
                <c:pt idx="192">
                  <c:v>547.69227999999998</c:v>
                </c:pt>
                <c:pt idx="193">
                  <c:v>68.843183999999994</c:v>
                </c:pt>
                <c:pt idx="194">
                  <c:v>8.9294799999999999</c:v>
                </c:pt>
                <c:pt idx="195">
                  <c:v>3.1658400000000002</c:v>
                </c:pt>
                <c:pt idx="196">
                  <c:v>4.1009359999999999</c:v>
                </c:pt>
                <c:pt idx="197">
                  <c:v>4.4170160000000003</c:v>
                </c:pt>
                <c:pt idx="198">
                  <c:v>131.337952</c:v>
                </c:pt>
                <c:pt idx="199">
                  <c:v>442.81593600000002</c:v>
                </c:pt>
                <c:pt idx="200">
                  <c:v>296.929912</c:v>
                </c:pt>
                <c:pt idx="201">
                  <c:v>272.95880799999998</c:v>
                </c:pt>
                <c:pt idx="202">
                  <c:v>374.62052799999998</c:v>
                </c:pt>
                <c:pt idx="203">
                  <c:v>137.44502399999999</c:v>
                </c:pt>
                <c:pt idx="204">
                  <c:v>119.987512</c:v>
                </c:pt>
                <c:pt idx="205">
                  <c:v>197.636064</c:v>
                </c:pt>
                <c:pt idx="206">
                  <c:v>274.21983999999998</c:v>
                </c:pt>
                <c:pt idx="207">
                  <c:v>293.758848</c:v>
                </c:pt>
                <c:pt idx="208">
                  <c:v>436.021952</c:v>
                </c:pt>
                <c:pt idx="209">
                  <c:v>296.43958400000002</c:v>
                </c:pt>
                <c:pt idx="210">
                  <c:v>297.22999199999998</c:v>
                </c:pt>
                <c:pt idx="211">
                  <c:v>350.95340800000002</c:v>
                </c:pt>
                <c:pt idx="212">
                  <c:v>146.56415999999999</c:v>
                </c:pt>
                <c:pt idx="213">
                  <c:v>383.60817600000001</c:v>
                </c:pt>
                <c:pt idx="214">
                  <c:v>278.73844000000003</c:v>
                </c:pt>
                <c:pt idx="215">
                  <c:v>365.24055199999998</c:v>
                </c:pt>
                <c:pt idx="216">
                  <c:v>239.26691199999999</c:v>
                </c:pt>
                <c:pt idx="217">
                  <c:v>54.719223999999997</c:v>
                </c:pt>
                <c:pt idx="218">
                  <c:v>664.99507200000005</c:v>
                </c:pt>
                <c:pt idx="219">
                  <c:v>121.200424</c:v>
                </c:pt>
                <c:pt idx="220">
                  <c:v>286.78830399999998</c:v>
                </c:pt>
                <c:pt idx="221">
                  <c:v>244.68860799999999</c:v>
                </c:pt>
                <c:pt idx="222">
                  <c:v>272.00728800000002</c:v>
                </c:pt>
                <c:pt idx="223">
                  <c:v>185.76102399999999</c:v>
                </c:pt>
                <c:pt idx="224">
                  <c:v>418.41239200000001</c:v>
                </c:pt>
                <c:pt idx="225">
                  <c:v>278.9778</c:v>
                </c:pt>
                <c:pt idx="226">
                  <c:v>294.21664800000002</c:v>
                </c:pt>
                <c:pt idx="227">
                  <c:v>241.23665600000001</c:v>
                </c:pt>
                <c:pt idx="228">
                  <c:v>115.229584</c:v>
                </c:pt>
                <c:pt idx="229">
                  <c:v>363.85756800000001</c:v>
                </c:pt>
                <c:pt idx="230">
                  <c:v>304.42167999999998</c:v>
                </c:pt>
                <c:pt idx="231">
                  <c:v>298.61174399999999</c:v>
                </c:pt>
                <c:pt idx="232">
                  <c:v>355.344784</c:v>
                </c:pt>
                <c:pt idx="233">
                  <c:v>288.94081599999998</c:v>
                </c:pt>
                <c:pt idx="234">
                  <c:v>66.344200000000001</c:v>
                </c:pt>
                <c:pt idx="235">
                  <c:v>2.4654959999999999</c:v>
                </c:pt>
                <c:pt idx="236">
                  <c:v>1.194752</c:v>
                </c:pt>
                <c:pt idx="237">
                  <c:v>0.75623200000000002</c:v>
                </c:pt>
                <c:pt idx="238">
                  <c:v>1.7800560000000001</c:v>
                </c:pt>
                <c:pt idx="239">
                  <c:v>358.40462400000001</c:v>
                </c:pt>
                <c:pt idx="240">
                  <c:v>1.85504</c:v>
                </c:pt>
                <c:pt idx="241">
                  <c:v>14.529152</c:v>
                </c:pt>
                <c:pt idx="242">
                  <c:v>25.165967999999999</c:v>
                </c:pt>
                <c:pt idx="243">
                  <c:v>152.75904800000001</c:v>
                </c:pt>
                <c:pt idx="244">
                  <c:v>263.60496000000001</c:v>
                </c:pt>
                <c:pt idx="245">
                  <c:v>397.797528</c:v>
                </c:pt>
                <c:pt idx="246">
                  <c:v>271.45248800000002</c:v>
                </c:pt>
                <c:pt idx="247">
                  <c:v>1.2969919999999999</c:v>
                </c:pt>
                <c:pt idx="248">
                  <c:v>255.572048</c:v>
                </c:pt>
                <c:pt idx="249">
                  <c:v>116.03308</c:v>
                </c:pt>
                <c:pt idx="250">
                  <c:v>266.116016</c:v>
                </c:pt>
                <c:pt idx="251">
                  <c:v>440.54691200000002</c:v>
                </c:pt>
                <c:pt idx="252">
                  <c:v>145.12901600000001</c:v>
                </c:pt>
                <c:pt idx="253">
                  <c:v>300.79269599999998</c:v>
                </c:pt>
                <c:pt idx="254">
                  <c:v>231.04281599999999</c:v>
                </c:pt>
                <c:pt idx="255">
                  <c:v>53.156120000000001</c:v>
                </c:pt>
                <c:pt idx="256">
                  <c:v>29.001984</c:v>
                </c:pt>
                <c:pt idx="257">
                  <c:v>60.299703999999998</c:v>
                </c:pt>
                <c:pt idx="258">
                  <c:v>121.25021599999999</c:v>
                </c:pt>
                <c:pt idx="259">
                  <c:v>395.61264799999998</c:v>
                </c:pt>
                <c:pt idx="260">
                  <c:v>304.99811199999999</c:v>
                </c:pt>
                <c:pt idx="261">
                  <c:v>91.807112000000004</c:v>
                </c:pt>
                <c:pt idx="262">
                  <c:v>6.2847439999999999</c:v>
                </c:pt>
                <c:pt idx="263">
                  <c:v>459.95109600000001</c:v>
                </c:pt>
                <c:pt idx="264">
                  <c:v>177.60902400000001</c:v>
                </c:pt>
                <c:pt idx="265">
                  <c:v>395.47270400000002</c:v>
                </c:pt>
                <c:pt idx="266">
                  <c:v>280.781048</c:v>
                </c:pt>
                <c:pt idx="267">
                  <c:v>151.61481599999999</c:v>
                </c:pt>
                <c:pt idx="268">
                  <c:v>18.759447999999999</c:v>
                </c:pt>
                <c:pt idx="269">
                  <c:v>14.54772</c:v>
                </c:pt>
                <c:pt idx="270">
                  <c:v>163.29764800000001</c:v>
                </c:pt>
                <c:pt idx="271">
                  <c:v>56.700263999999997</c:v>
                </c:pt>
                <c:pt idx="272">
                  <c:v>1.702224</c:v>
                </c:pt>
                <c:pt idx="273">
                  <c:v>8.4751359999999991</c:v>
                </c:pt>
                <c:pt idx="274">
                  <c:v>42.319648000000001</c:v>
                </c:pt>
                <c:pt idx="275">
                  <c:v>176.11107999999999</c:v>
                </c:pt>
                <c:pt idx="276">
                  <c:v>294.03305599999999</c:v>
                </c:pt>
                <c:pt idx="277">
                  <c:v>433.01190400000002</c:v>
                </c:pt>
                <c:pt idx="278">
                  <c:v>295.388712</c:v>
                </c:pt>
                <c:pt idx="279">
                  <c:v>262.22251999999997</c:v>
                </c:pt>
                <c:pt idx="280">
                  <c:v>302.13214399999998</c:v>
                </c:pt>
                <c:pt idx="281">
                  <c:v>51.792743999999999</c:v>
                </c:pt>
                <c:pt idx="282">
                  <c:v>301.53963199999998</c:v>
                </c:pt>
                <c:pt idx="283">
                  <c:v>294.52257600000002</c:v>
                </c:pt>
                <c:pt idx="284">
                  <c:v>355.75124</c:v>
                </c:pt>
                <c:pt idx="285">
                  <c:v>378.74252799999999</c:v>
                </c:pt>
                <c:pt idx="286">
                  <c:v>303.08019999999999</c:v>
                </c:pt>
                <c:pt idx="287">
                  <c:v>291.076616</c:v>
                </c:pt>
                <c:pt idx="288">
                  <c:v>46.594704</c:v>
                </c:pt>
                <c:pt idx="289">
                  <c:v>48.275615999999999</c:v>
                </c:pt>
                <c:pt idx="290">
                  <c:v>30.468232</c:v>
                </c:pt>
                <c:pt idx="291">
                  <c:v>130.78357600000001</c:v>
                </c:pt>
                <c:pt idx="292">
                  <c:v>426.51226400000002</c:v>
                </c:pt>
                <c:pt idx="293">
                  <c:v>228.11387199999999</c:v>
                </c:pt>
                <c:pt idx="294">
                  <c:v>430.56332800000001</c:v>
                </c:pt>
                <c:pt idx="295">
                  <c:v>225.83564799999999</c:v>
                </c:pt>
                <c:pt idx="296">
                  <c:v>262.38328000000001</c:v>
                </c:pt>
                <c:pt idx="297">
                  <c:v>440.06952799999999</c:v>
                </c:pt>
                <c:pt idx="298">
                  <c:v>282.52008799999999</c:v>
                </c:pt>
                <c:pt idx="299">
                  <c:v>363.96660000000003</c:v>
                </c:pt>
                <c:pt idx="300">
                  <c:v>195.624696</c:v>
                </c:pt>
                <c:pt idx="301">
                  <c:v>184.46876</c:v>
                </c:pt>
                <c:pt idx="302">
                  <c:v>72.705095999999998</c:v>
                </c:pt>
                <c:pt idx="303">
                  <c:v>114.771856</c:v>
                </c:pt>
                <c:pt idx="304">
                  <c:v>434.23687200000001</c:v>
                </c:pt>
                <c:pt idx="305">
                  <c:v>292.49484799999999</c:v>
                </c:pt>
                <c:pt idx="306">
                  <c:v>296.14516800000001</c:v>
                </c:pt>
                <c:pt idx="307">
                  <c:v>367.63344000000001</c:v>
                </c:pt>
                <c:pt idx="308">
                  <c:v>42.02252</c:v>
                </c:pt>
                <c:pt idx="309">
                  <c:v>121.020016</c:v>
                </c:pt>
                <c:pt idx="310">
                  <c:v>276.88267200000001</c:v>
                </c:pt>
                <c:pt idx="311">
                  <c:v>288.077448</c:v>
                </c:pt>
                <c:pt idx="312">
                  <c:v>297.22960799999998</c:v>
                </c:pt>
                <c:pt idx="313">
                  <c:v>237.68436</c:v>
                </c:pt>
                <c:pt idx="314">
                  <c:v>375.65631200000001</c:v>
                </c:pt>
                <c:pt idx="315">
                  <c:v>262.375832</c:v>
                </c:pt>
                <c:pt idx="316">
                  <c:v>304.13833599999998</c:v>
                </c:pt>
                <c:pt idx="317">
                  <c:v>386.45264800000001</c:v>
                </c:pt>
                <c:pt idx="318">
                  <c:v>296.35708</c:v>
                </c:pt>
                <c:pt idx="319">
                  <c:v>141.81142399999999</c:v>
                </c:pt>
                <c:pt idx="320">
                  <c:v>37.12612</c:v>
                </c:pt>
                <c:pt idx="321">
                  <c:v>8.0810320000000004</c:v>
                </c:pt>
                <c:pt idx="322">
                  <c:v>4.18736</c:v>
                </c:pt>
                <c:pt idx="323">
                  <c:v>5.0675119999999998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8-43B5-9FB3-789A70ECE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178848"/>
        <c:axId val="1442176448"/>
      </c:lineChart>
      <c:catAx>
        <c:axId val="1442178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2176448"/>
        <c:crosses val="autoZero"/>
        <c:auto val="1"/>
        <c:lblAlgn val="ctr"/>
        <c:lblOffset val="100"/>
        <c:noMultiLvlLbl val="0"/>
      </c:catAx>
      <c:valAx>
        <c:axId val="14421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217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Исходящий трафик, Мбит/ 5 мин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Лист1!$AB$1:$AB$64</c:f>
              <c:numCache>
                <c:formatCode>General</c:formatCode>
                <c:ptCount val="64"/>
                <c:pt idx="0">
                  <c:v>13.364231999999999</c:v>
                </c:pt>
                <c:pt idx="1">
                  <c:v>10.698359999999999</c:v>
                </c:pt>
                <c:pt idx="2">
                  <c:v>50.490895999999999</c:v>
                </c:pt>
                <c:pt idx="3">
                  <c:v>37.353920000000002</c:v>
                </c:pt>
                <c:pt idx="4">
                  <c:v>34.984392</c:v>
                </c:pt>
                <c:pt idx="5">
                  <c:v>10.049992</c:v>
                </c:pt>
                <c:pt idx="6">
                  <c:v>9.1214239999999993</c:v>
                </c:pt>
                <c:pt idx="7">
                  <c:v>8.3766400000000001</c:v>
                </c:pt>
                <c:pt idx="8">
                  <c:v>11.182359999999999</c:v>
                </c:pt>
                <c:pt idx="9">
                  <c:v>13.111048</c:v>
                </c:pt>
                <c:pt idx="10">
                  <c:v>8.4983120000000003</c:v>
                </c:pt>
                <c:pt idx="11">
                  <c:v>10.101520000000001</c:v>
                </c:pt>
                <c:pt idx="12">
                  <c:v>6.1501679999999999</c:v>
                </c:pt>
                <c:pt idx="13">
                  <c:v>6.9757680000000004</c:v>
                </c:pt>
                <c:pt idx="14">
                  <c:v>17.855656</c:v>
                </c:pt>
                <c:pt idx="15">
                  <c:v>10.4198</c:v>
                </c:pt>
                <c:pt idx="16">
                  <c:v>48.559240000000003</c:v>
                </c:pt>
                <c:pt idx="17">
                  <c:v>17.585111999999999</c:v>
                </c:pt>
                <c:pt idx="18">
                  <c:v>13.739952000000001</c:v>
                </c:pt>
                <c:pt idx="19">
                  <c:v>18.389880000000002</c:v>
                </c:pt>
                <c:pt idx="20">
                  <c:v>17.763400000000001</c:v>
                </c:pt>
                <c:pt idx="21">
                  <c:v>11.16788</c:v>
                </c:pt>
                <c:pt idx="22">
                  <c:v>4.5777999999999999</c:v>
                </c:pt>
                <c:pt idx="23">
                  <c:v>3.6556479999999998</c:v>
                </c:pt>
                <c:pt idx="24">
                  <c:v>2.9825360000000001</c:v>
                </c:pt>
                <c:pt idx="25">
                  <c:v>3.018192</c:v>
                </c:pt>
                <c:pt idx="26">
                  <c:v>3.5740880000000002</c:v>
                </c:pt>
                <c:pt idx="27">
                  <c:v>4.230696</c:v>
                </c:pt>
                <c:pt idx="28">
                  <c:v>2.4768240000000001</c:v>
                </c:pt>
                <c:pt idx="29">
                  <c:v>1.710056</c:v>
                </c:pt>
                <c:pt idx="30">
                  <c:v>8.2438959999999994</c:v>
                </c:pt>
                <c:pt idx="31">
                  <c:v>4.1348399999999996</c:v>
                </c:pt>
                <c:pt idx="32">
                  <c:v>3.874536</c:v>
                </c:pt>
                <c:pt idx="33">
                  <c:v>4.9321359999999999</c:v>
                </c:pt>
                <c:pt idx="34">
                  <c:v>11.653767999999999</c:v>
                </c:pt>
                <c:pt idx="35">
                  <c:v>9.4716240000000003</c:v>
                </c:pt>
                <c:pt idx="36">
                  <c:v>29.56888</c:v>
                </c:pt>
                <c:pt idx="37">
                  <c:v>21.203023999999999</c:v>
                </c:pt>
                <c:pt idx="38">
                  <c:v>23.269791999999999</c:v>
                </c:pt>
                <c:pt idx="39">
                  <c:v>11.110224000000001</c:v>
                </c:pt>
                <c:pt idx="40">
                  <c:v>11.88472</c:v>
                </c:pt>
                <c:pt idx="41">
                  <c:v>13.03656</c:v>
                </c:pt>
                <c:pt idx="42">
                  <c:v>12.537447999999999</c:v>
                </c:pt>
                <c:pt idx="43">
                  <c:v>32.464136000000003</c:v>
                </c:pt>
                <c:pt idx="44">
                  <c:v>18.762927999999999</c:v>
                </c:pt>
                <c:pt idx="45">
                  <c:v>15.251136000000001</c:v>
                </c:pt>
                <c:pt idx="46">
                  <c:v>10.434184</c:v>
                </c:pt>
                <c:pt idx="47">
                  <c:v>8.015568</c:v>
                </c:pt>
                <c:pt idx="48">
                  <c:v>6.7801039999999997</c:v>
                </c:pt>
                <c:pt idx="49">
                  <c:v>8.8877679999999994</c:v>
                </c:pt>
                <c:pt idx="50">
                  <c:v>13.544104000000001</c:v>
                </c:pt>
                <c:pt idx="51">
                  <c:v>16.415576000000001</c:v>
                </c:pt>
                <c:pt idx="52">
                  <c:v>19.917504000000001</c:v>
                </c:pt>
                <c:pt idx="53">
                  <c:v>11.536152</c:v>
                </c:pt>
                <c:pt idx="54">
                  <c:v>19.119288000000001</c:v>
                </c:pt>
                <c:pt idx="55">
                  <c:v>12.934576</c:v>
                </c:pt>
                <c:pt idx="56">
                  <c:v>11.228736</c:v>
                </c:pt>
                <c:pt idx="57">
                  <c:v>13.111432000000001</c:v>
                </c:pt>
                <c:pt idx="58">
                  <c:v>11.473696</c:v>
                </c:pt>
                <c:pt idx="59">
                  <c:v>12.02192</c:v>
                </c:pt>
                <c:pt idx="60">
                  <c:v>9.6530480000000001</c:v>
                </c:pt>
                <c:pt idx="61">
                  <c:v>10.80864</c:v>
                </c:pt>
                <c:pt idx="62">
                  <c:v>10.943536</c:v>
                </c:pt>
                <c:pt idx="63">
                  <c:v>12.44544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A-4447-8D77-7B37329F3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412880"/>
        <c:axId val="1574416720"/>
      </c:lineChart>
      <c:catAx>
        <c:axId val="157441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4416720"/>
        <c:crosses val="autoZero"/>
        <c:auto val="1"/>
        <c:lblAlgn val="ctr"/>
        <c:lblOffset val="100"/>
        <c:noMultiLvlLbl val="0"/>
      </c:catAx>
      <c:valAx>
        <c:axId val="15744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441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Входящий трафик, Мбит/ 5 мин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Лист1!$AA$1:$AA$64</c:f>
              <c:numCache>
                <c:formatCode>General</c:formatCode>
                <c:ptCount val="64"/>
                <c:pt idx="0">
                  <c:v>41.174208</c:v>
                </c:pt>
                <c:pt idx="1">
                  <c:v>395.00935199999998</c:v>
                </c:pt>
                <c:pt idx="2">
                  <c:v>763.02945599999998</c:v>
                </c:pt>
                <c:pt idx="3">
                  <c:v>243.923168</c:v>
                </c:pt>
                <c:pt idx="4">
                  <c:v>1385.726776</c:v>
                </c:pt>
                <c:pt idx="5">
                  <c:v>1368.202176</c:v>
                </c:pt>
                <c:pt idx="6">
                  <c:v>1015.235712</c:v>
                </c:pt>
                <c:pt idx="7">
                  <c:v>916.05388800000003</c:v>
                </c:pt>
                <c:pt idx="8">
                  <c:v>1549.8735999999999</c:v>
                </c:pt>
                <c:pt idx="9">
                  <c:v>920.80910400000005</c:v>
                </c:pt>
                <c:pt idx="10">
                  <c:v>969.78338399999996</c:v>
                </c:pt>
                <c:pt idx="11">
                  <c:v>1570.873472</c:v>
                </c:pt>
                <c:pt idx="12">
                  <c:v>878.09091999999998</c:v>
                </c:pt>
                <c:pt idx="13">
                  <c:v>954.47223199999996</c:v>
                </c:pt>
                <c:pt idx="14">
                  <c:v>285.89962400000002</c:v>
                </c:pt>
                <c:pt idx="15">
                  <c:v>8.6048240000000007</c:v>
                </c:pt>
                <c:pt idx="16">
                  <c:v>163.60715999999999</c:v>
                </c:pt>
                <c:pt idx="17">
                  <c:v>63.446136000000003</c:v>
                </c:pt>
                <c:pt idx="18">
                  <c:v>10.92712</c:v>
                </c:pt>
                <c:pt idx="19">
                  <c:v>24.21932</c:v>
                </c:pt>
                <c:pt idx="20">
                  <c:v>195.11524</c:v>
                </c:pt>
                <c:pt idx="21">
                  <c:v>31.942807999999999</c:v>
                </c:pt>
                <c:pt idx="22">
                  <c:v>7.6419360000000003</c:v>
                </c:pt>
                <c:pt idx="23">
                  <c:v>5.5277919999999998</c:v>
                </c:pt>
                <c:pt idx="24">
                  <c:v>4.948944</c:v>
                </c:pt>
                <c:pt idx="25">
                  <c:v>4.9735680000000002</c:v>
                </c:pt>
                <c:pt idx="26">
                  <c:v>5.7312079999999996</c:v>
                </c:pt>
                <c:pt idx="27">
                  <c:v>5.2127920000000003</c:v>
                </c:pt>
                <c:pt idx="28">
                  <c:v>4.7216240000000003</c:v>
                </c:pt>
                <c:pt idx="29">
                  <c:v>3.7363840000000001</c:v>
                </c:pt>
                <c:pt idx="30">
                  <c:v>10.164904</c:v>
                </c:pt>
                <c:pt idx="31">
                  <c:v>7.1990959999999999</c:v>
                </c:pt>
                <c:pt idx="32">
                  <c:v>22.823119999999999</c:v>
                </c:pt>
                <c:pt idx="33">
                  <c:v>10.548999999999999</c:v>
                </c:pt>
                <c:pt idx="34">
                  <c:v>16.59196</c:v>
                </c:pt>
                <c:pt idx="35">
                  <c:v>16.230399999999999</c:v>
                </c:pt>
                <c:pt idx="36">
                  <c:v>276.47513600000002</c:v>
                </c:pt>
                <c:pt idx="37">
                  <c:v>55.314664</c:v>
                </c:pt>
                <c:pt idx="38">
                  <c:v>710.67777599999999</c:v>
                </c:pt>
                <c:pt idx="39">
                  <c:v>637.596408</c:v>
                </c:pt>
                <c:pt idx="40">
                  <c:v>1153.5884639999999</c:v>
                </c:pt>
                <c:pt idx="41">
                  <c:v>1605.6609679999999</c:v>
                </c:pt>
                <c:pt idx="42">
                  <c:v>1431.4224959999999</c:v>
                </c:pt>
                <c:pt idx="43">
                  <c:v>1344.1810399999999</c:v>
                </c:pt>
                <c:pt idx="44">
                  <c:v>1323.2457039999999</c:v>
                </c:pt>
                <c:pt idx="45">
                  <c:v>1305.6847519999999</c:v>
                </c:pt>
                <c:pt idx="46">
                  <c:v>1275.8467920000001</c:v>
                </c:pt>
                <c:pt idx="47">
                  <c:v>356.46678400000002</c:v>
                </c:pt>
                <c:pt idx="48">
                  <c:v>558.49840800000004</c:v>
                </c:pt>
                <c:pt idx="49">
                  <c:v>1042.013232</c:v>
                </c:pt>
                <c:pt idx="50">
                  <c:v>1265.066464</c:v>
                </c:pt>
                <c:pt idx="51">
                  <c:v>783.41118400000005</c:v>
                </c:pt>
                <c:pt idx="52">
                  <c:v>969.77780800000005</c:v>
                </c:pt>
                <c:pt idx="53">
                  <c:v>750.03811199999996</c:v>
                </c:pt>
                <c:pt idx="54">
                  <c:v>260.33628800000002</c:v>
                </c:pt>
                <c:pt idx="55">
                  <c:v>1557.0160800000001</c:v>
                </c:pt>
                <c:pt idx="56">
                  <c:v>1259.841336</c:v>
                </c:pt>
                <c:pt idx="57">
                  <c:v>973.43264799999997</c:v>
                </c:pt>
                <c:pt idx="58">
                  <c:v>1234.9060079999999</c:v>
                </c:pt>
                <c:pt idx="59">
                  <c:v>1562.7232320000001</c:v>
                </c:pt>
                <c:pt idx="60">
                  <c:v>991.98491200000001</c:v>
                </c:pt>
                <c:pt idx="61">
                  <c:v>1108.6081200000001</c:v>
                </c:pt>
                <c:pt idx="62">
                  <c:v>1463.8824079999999</c:v>
                </c:pt>
                <c:pt idx="63">
                  <c:v>1396.487848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2-4F88-BD34-24829B17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134432"/>
        <c:axId val="1764132512"/>
      </c:lineChart>
      <c:catAx>
        <c:axId val="176413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132512"/>
        <c:crosses val="autoZero"/>
        <c:auto val="1"/>
        <c:lblAlgn val="ctr"/>
        <c:lblOffset val="100"/>
        <c:noMultiLvlLbl val="0"/>
      </c:catAx>
      <c:valAx>
        <c:axId val="17641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13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Суммарный трафик, Мбит/ 5 мин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Лист1!$AC$1:$AC$64</c:f>
              <c:numCache>
                <c:formatCode>General</c:formatCode>
                <c:ptCount val="64"/>
                <c:pt idx="0">
                  <c:v>54.538440000000001</c:v>
                </c:pt>
                <c:pt idx="1">
                  <c:v>405.70771200000001</c:v>
                </c:pt>
                <c:pt idx="2">
                  <c:v>813.520352</c:v>
                </c:pt>
                <c:pt idx="3">
                  <c:v>281.27708799999999</c:v>
                </c:pt>
                <c:pt idx="4">
                  <c:v>1420.711168</c:v>
                </c:pt>
                <c:pt idx="5">
                  <c:v>1378.252168</c:v>
                </c:pt>
                <c:pt idx="6">
                  <c:v>1024.3571360000001</c:v>
                </c:pt>
                <c:pt idx="7">
                  <c:v>924.43052799999998</c:v>
                </c:pt>
                <c:pt idx="8">
                  <c:v>1561.0559599999999</c:v>
                </c:pt>
                <c:pt idx="9">
                  <c:v>933.92015200000003</c:v>
                </c:pt>
                <c:pt idx="10">
                  <c:v>978.28169600000001</c:v>
                </c:pt>
                <c:pt idx="11">
                  <c:v>1580.9749919999999</c:v>
                </c:pt>
                <c:pt idx="12">
                  <c:v>884.24108799999999</c:v>
                </c:pt>
                <c:pt idx="13">
                  <c:v>961.44799999999998</c:v>
                </c:pt>
                <c:pt idx="14">
                  <c:v>303.75528000000003</c:v>
                </c:pt>
                <c:pt idx="15">
                  <c:v>19.024623999999999</c:v>
                </c:pt>
                <c:pt idx="16">
                  <c:v>212.16640000000001</c:v>
                </c:pt>
                <c:pt idx="17">
                  <c:v>81.031248000000005</c:v>
                </c:pt>
                <c:pt idx="18">
                  <c:v>24.667072000000001</c:v>
                </c:pt>
                <c:pt idx="19">
                  <c:v>42.609200000000001</c:v>
                </c:pt>
                <c:pt idx="20">
                  <c:v>212.87863999999999</c:v>
                </c:pt>
                <c:pt idx="21">
                  <c:v>43.110688000000003</c:v>
                </c:pt>
                <c:pt idx="22">
                  <c:v>12.219735999999999</c:v>
                </c:pt>
                <c:pt idx="23">
                  <c:v>9.1834399999999992</c:v>
                </c:pt>
                <c:pt idx="24">
                  <c:v>7.9314799999999996</c:v>
                </c:pt>
                <c:pt idx="25">
                  <c:v>7.9917600000000002</c:v>
                </c:pt>
                <c:pt idx="26">
                  <c:v>9.3052960000000002</c:v>
                </c:pt>
                <c:pt idx="27">
                  <c:v>9.4434880000000003</c:v>
                </c:pt>
                <c:pt idx="28">
                  <c:v>7.198448</c:v>
                </c:pt>
                <c:pt idx="29">
                  <c:v>5.4464399999999999</c:v>
                </c:pt>
                <c:pt idx="30">
                  <c:v>18.408799999999999</c:v>
                </c:pt>
                <c:pt idx="31">
                  <c:v>11.333936</c:v>
                </c:pt>
                <c:pt idx="32">
                  <c:v>26.697655999999998</c:v>
                </c:pt>
                <c:pt idx="33">
                  <c:v>15.481135999999999</c:v>
                </c:pt>
                <c:pt idx="34">
                  <c:v>28.245728</c:v>
                </c:pt>
                <c:pt idx="35">
                  <c:v>25.702024000000002</c:v>
                </c:pt>
                <c:pt idx="36">
                  <c:v>306.044016</c:v>
                </c:pt>
                <c:pt idx="37">
                  <c:v>76.517688000000007</c:v>
                </c:pt>
                <c:pt idx="38">
                  <c:v>733.94756800000005</c:v>
                </c:pt>
                <c:pt idx="39">
                  <c:v>648.70663200000001</c:v>
                </c:pt>
                <c:pt idx="40">
                  <c:v>1165.4731839999999</c:v>
                </c:pt>
                <c:pt idx="41">
                  <c:v>1618.6975279999999</c:v>
                </c:pt>
                <c:pt idx="42">
                  <c:v>1443.959944</c:v>
                </c:pt>
                <c:pt idx="43">
                  <c:v>1376.645176</c:v>
                </c:pt>
                <c:pt idx="44">
                  <c:v>1342.008632</c:v>
                </c:pt>
                <c:pt idx="45">
                  <c:v>1320.935888</c:v>
                </c:pt>
                <c:pt idx="46">
                  <c:v>1286.280976</c:v>
                </c:pt>
                <c:pt idx="47">
                  <c:v>364.48235199999999</c:v>
                </c:pt>
                <c:pt idx="48">
                  <c:v>565.27851199999998</c:v>
                </c:pt>
                <c:pt idx="49">
                  <c:v>1050.9010000000001</c:v>
                </c:pt>
                <c:pt idx="50">
                  <c:v>1278.6105680000001</c:v>
                </c:pt>
                <c:pt idx="51">
                  <c:v>799.82676000000004</c:v>
                </c:pt>
                <c:pt idx="52">
                  <c:v>989.69531199999994</c:v>
                </c:pt>
                <c:pt idx="53">
                  <c:v>761.57426399999997</c:v>
                </c:pt>
                <c:pt idx="54">
                  <c:v>279.45557600000001</c:v>
                </c:pt>
                <c:pt idx="55">
                  <c:v>1569.950656</c:v>
                </c:pt>
                <c:pt idx="56">
                  <c:v>1271.070072</c:v>
                </c:pt>
                <c:pt idx="57">
                  <c:v>986.54408000000001</c:v>
                </c:pt>
                <c:pt idx="58">
                  <c:v>1246.3797039999999</c:v>
                </c:pt>
                <c:pt idx="59">
                  <c:v>1574.745152</c:v>
                </c:pt>
                <c:pt idx="60">
                  <c:v>1001.63796</c:v>
                </c:pt>
                <c:pt idx="61">
                  <c:v>1119.4167600000001</c:v>
                </c:pt>
                <c:pt idx="62">
                  <c:v>1474.8259439999999</c:v>
                </c:pt>
                <c:pt idx="63">
                  <c:v>1408.9332879999999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F-4AE0-A6C6-CE164F8A7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061536"/>
        <c:axId val="1620060576"/>
      </c:lineChart>
      <c:catAx>
        <c:axId val="162006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0060576"/>
        <c:crosses val="autoZero"/>
        <c:auto val="1"/>
        <c:lblAlgn val="ctr"/>
        <c:lblOffset val="100"/>
        <c:noMultiLvlLbl val="0"/>
      </c:catAx>
      <c:valAx>
        <c:axId val="162006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006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209984</xdr:colOff>
      <xdr:row>19</xdr:row>
      <xdr:rowOff>109826</xdr:rowOff>
    </xdr:from>
    <xdr:to>
      <xdr:col>11</xdr:col>
      <xdr:colOff>537688</xdr:colOff>
      <xdr:row>35</xdr:row>
      <xdr:rowOff>174006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E59C5DB-53F7-8B28-5C97-036BF9BE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193386</xdr:colOff>
      <xdr:row>36</xdr:row>
      <xdr:rowOff>136318</xdr:rowOff>
    </xdr:from>
    <xdr:to>
      <xdr:col>11</xdr:col>
      <xdr:colOff>531091</xdr:colOff>
      <xdr:row>52</xdr:row>
      <xdr:rowOff>92363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18FA882-6E0C-8433-148D-CFD6B43E5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161636</xdr:colOff>
      <xdr:row>53</xdr:row>
      <xdr:rowOff>135082</xdr:rowOff>
    </xdr:from>
    <xdr:to>
      <xdr:col>12</xdr:col>
      <xdr:colOff>11546</xdr:colOff>
      <xdr:row>69</xdr:row>
      <xdr:rowOff>138545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4F17733-9D7F-73DB-DD41-95921946B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103908</xdr:colOff>
      <xdr:row>93</xdr:row>
      <xdr:rowOff>34636</xdr:rowOff>
    </xdr:from>
    <xdr:to>
      <xdr:col>12</xdr:col>
      <xdr:colOff>46181</xdr:colOff>
      <xdr:row>108</xdr:row>
      <xdr:rowOff>115454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65E805B-ADAC-22DD-F55F-FEB63A323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115455</xdr:colOff>
      <xdr:row>74</xdr:row>
      <xdr:rowOff>42716</xdr:rowOff>
    </xdr:from>
    <xdr:to>
      <xdr:col>11</xdr:col>
      <xdr:colOff>588818</xdr:colOff>
      <xdr:row>91</xdr:row>
      <xdr:rowOff>161635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118367F-2A9B-6582-CCDE-7478E7617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57727</xdr:colOff>
      <xdr:row>109</xdr:row>
      <xdr:rowOff>169719</xdr:rowOff>
    </xdr:from>
    <xdr:to>
      <xdr:col>12</xdr:col>
      <xdr:colOff>69273</xdr:colOff>
      <xdr:row>126</xdr:row>
      <xdr:rowOff>127000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82B0D6A-7321-1F76-8764-B0E5CA9FE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CA7E-53B1-4558-BE88-490E0B4E92E9}">
  <dimension ref="A1:AC324"/>
  <sheetViews>
    <sheetView tabSelected="1" topLeftCell="A130" zoomScale="85" zoomScaleNormal="55" workbookViewId="0">
      <selection activeCell="L9" sqref="L9"/>
    </sheetView>
  </sheetViews>
  <sheetFormatPr defaultRowHeight="14.5" x14ac:dyDescent="0.35"/>
  <cols>
    <col min="1" max="1" width="12.08984375" customWidth="1"/>
    <col min="3" max="3" width="16.6328125" style="2" customWidth="1"/>
    <col min="4" max="4" width="14.7265625" style="2" customWidth="1"/>
    <col min="5" max="5" width="16.36328125" style="2" customWidth="1"/>
    <col min="7" max="7" width="14.36328125" bestFit="1" customWidth="1"/>
    <col min="9" max="9" width="22.36328125" customWidth="1"/>
    <col min="10" max="10" width="14.26953125" customWidth="1"/>
    <col min="11" max="11" width="10.26953125" bestFit="1" customWidth="1"/>
    <col min="14" max="14" width="13.1796875" customWidth="1"/>
    <col min="15" max="15" width="12.26953125" customWidth="1"/>
    <col min="16" max="18" width="15.90625" style="2" customWidth="1"/>
    <col min="23" max="23" width="8.7265625" customWidth="1"/>
  </cols>
  <sheetData>
    <row r="1" spans="1:29" x14ac:dyDescent="0.35">
      <c r="A1" t="s">
        <v>0</v>
      </c>
      <c r="B1" s="1">
        <v>0.43481481481481482</v>
      </c>
      <c r="C1" s="2">
        <v>628376</v>
      </c>
      <c r="D1" s="2">
        <v>377800</v>
      </c>
      <c r="E1" s="2">
        <v>1006176</v>
      </c>
      <c r="G1" s="6" t="s">
        <v>2</v>
      </c>
      <c r="H1" s="6"/>
      <c r="I1" s="6"/>
      <c r="N1" t="s">
        <v>0</v>
      </c>
      <c r="O1" s="1">
        <v>0.43783564814814813</v>
      </c>
      <c r="P1" s="2">
        <v>41174208</v>
      </c>
      <c r="Q1" s="2">
        <v>13364232</v>
      </c>
      <c r="R1" s="2">
        <v>54538440</v>
      </c>
      <c r="W1">
        <f>C1/1000000</f>
        <v>0.62837600000000005</v>
      </c>
      <c r="X1">
        <f>D1/1000000</f>
        <v>0.37780000000000002</v>
      </c>
      <c r="Y1">
        <f>E1/1000000</f>
        <v>1.006176</v>
      </c>
      <c r="AA1">
        <f>P1/1000000</f>
        <v>41.174208</v>
      </c>
      <c r="AB1">
        <f t="shared" ref="AB1:AC16" si="0">Q1/1000000</f>
        <v>13.364231999999999</v>
      </c>
      <c r="AC1">
        <f t="shared" si="0"/>
        <v>54.538440000000001</v>
      </c>
    </row>
    <row r="2" spans="1:29" x14ac:dyDescent="0.35">
      <c r="A2" t="s">
        <v>0</v>
      </c>
      <c r="B2" s="1">
        <v>0.43550925925925926</v>
      </c>
      <c r="C2" s="2">
        <v>5327120</v>
      </c>
      <c r="D2" s="2">
        <v>1501696</v>
      </c>
      <c r="E2" s="2">
        <v>6828816</v>
      </c>
      <c r="G2" s="6" t="s">
        <v>1</v>
      </c>
      <c r="H2" s="6"/>
      <c r="I2" s="6"/>
      <c r="J2" s="2">
        <f>AVERAGE(C:C)/60</f>
        <v>2189226.3674897118</v>
      </c>
      <c r="K2" s="2">
        <f>J2/1000000</f>
        <v>2.1892263674897117</v>
      </c>
      <c r="L2" t="s">
        <v>9</v>
      </c>
      <c r="N2" t="s">
        <v>0</v>
      </c>
      <c r="O2" s="1">
        <v>0.44131944444444443</v>
      </c>
      <c r="P2" s="2">
        <v>395009352</v>
      </c>
      <c r="Q2" s="2">
        <v>10698360</v>
      </c>
      <c r="R2" s="2">
        <v>405707712</v>
      </c>
      <c r="W2">
        <f>C2/1000000</f>
        <v>5.3271199999999999</v>
      </c>
      <c r="X2">
        <f t="shared" ref="X2:X65" si="1">D2/1000000</f>
        <v>1.5016959999999999</v>
      </c>
      <c r="Y2">
        <f t="shared" ref="Y2:Y65" si="2">E2/1000000</f>
        <v>6.8288159999999998</v>
      </c>
      <c r="AA2">
        <f t="shared" ref="AA2:AC64" si="3">P2/1000000</f>
        <v>395.00935199999998</v>
      </c>
      <c r="AB2">
        <f t="shared" si="0"/>
        <v>10.698359999999999</v>
      </c>
      <c r="AC2">
        <f t="shared" si="0"/>
        <v>405.70771200000001</v>
      </c>
    </row>
    <row r="3" spans="1:29" x14ac:dyDescent="0.35">
      <c r="A3" t="s">
        <v>0</v>
      </c>
      <c r="B3" s="1">
        <v>0.4362152777777778</v>
      </c>
      <c r="C3" s="2">
        <v>17317328</v>
      </c>
      <c r="D3" s="2">
        <v>5265808</v>
      </c>
      <c r="E3" s="2">
        <v>22583136</v>
      </c>
      <c r="G3" s="6" t="s">
        <v>3</v>
      </c>
      <c r="H3" s="6"/>
      <c r="I3" s="6"/>
      <c r="J3" s="2">
        <f>AVERAGE(D:D)/60</f>
        <v>45089.74609053498</v>
      </c>
      <c r="K3" s="2">
        <f t="shared" ref="K3:K16" si="4">J3/1000000</f>
        <v>4.5089746090534982E-2</v>
      </c>
      <c r="L3" t="s">
        <v>9</v>
      </c>
      <c r="N3" t="s">
        <v>0</v>
      </c>
      <c r="O3" s="1">
        <v>0.44479166666666664</v>
      </c>
      <c r="P3" s="2">
        <v>763029456</v>
      </c>
      <c r="Q3" s="2">
        <v>50490896</v>
      </c>
      <c r="R3" s="2">
        <v>813520352</v>
      </c>
      <c r="W3">
        <f t="shared" ref="W3:W66" si="5">C3/1000000</f>
        <v>17.317328</v>
      </c>
      <c r="X3">
        <f t="shared" si="1"/>
        <v>5.2658079999999998</v>
      </c>
      <c r="Y3">
        <f t="shared" si="2"/>
        <v>22.583136</v>
      </c>
      <c r="AA3">
        <f t="shared" si="3"/>
        <v>763.02945599999998</v>
      </c>
      <c r="AB3">
        <f t="shared" si="0"/>
        <v>50.490895999999999</v>
      </c>
      <c r="AC3">
        <f t="shared" si="0"/>
        <v>813.520352</v>
      </c>
    </row>
    <row r="4" spans="1:29" x14ac:dyDescent="0.35">
      <c r="A4" t="s">
        <v>0</v>
      </c>
      <c r="B4" s="1">
        <v>0.43690972222222224</v>
      </c>
      <c r="C4" s="2">
        <v>16312184</v>
      </c>
      <c r="D4" s="2">
        <v>5422576</v>
      </c>
      <c r="E4" s="2">
        <v>21734760</v>
      </c>
      <c r="G4" s="6" t="s">
        <v>4</v>
      </c>
      <c r="H4" s="6"/>
      <c r="I4" s="6"/>
      <c r="J4" s="2">
        <f>AVERAGE(E:E)/60</f>
        <v>2234316.1135802469</v>
      </c>
      <c r="K4" s="2">
        <f t="shared" si="4"/>
        <v>2.2343161135802467</v>
      </c>
      <c r="L4" t="s">
        <v>9</v>
      </c>
      <c r="N4" t="s">
        <v>0</v>
      </c>
      <c r="O4" s="1">
        <v>0.44827546296296295</v>
      </c>
      <c r="P4" s="2">
        <v>243923168</v>
      </c>
      <c r="Q4" s="2">
        <v>37353920</v>
      </c>
      <c r="R4" s="2">
        <v>281277088</v>
      </c>
      <c r="W4">
        <f t="shared" si="5"/>
        <v>16.312183999999998</v>
      </c>
      <c r="X4">
        <f t="shared" si="1"/>
        <v>5.4225760000000003</v>
      </c>
      <c r="Y4">
        <f t="shared" si="2"/>
        <v>21.734760000000001</v>
      </c>
      <c r="AA4">
        <f t="shared" si="3"/>
        <v>243.923168</v>
      </c>
      <c r="AB4">
        <f t="shared" si="0"/>
        <v>37.353920000000002</v>
      </c>
      <c r="AC4">
        <f t="shared" si="0"/>
        <v>281.27708799999999</v>
      </c>
    </row>
    <row r="5" spans="1:29" x14ac:dyDescent="0.35">
      <c r="A5" t="s">
        <v>0</v>
      </c>
      <c r="B5" s="1">
        <v>0.43760416666666668</v>
      </c>
      <c r="C5" s="2">
        <v>1197072</v>
      </c>
      <c r="D5" s="2">
        <v>661928</v>
      </c>
      <c r="E5" s="2">
        <v>1859000</v>
      </c>
      <c r="G5" s="6" t="s">
        <v>5</v>
      </c>
      <c r="H5" s="6"/>
      <c r="I5" s="6"/>
      <c r="J5">
        <f>PERCENTILE(C:C,0.95)/60</f>
        <v>6913991.6999999974</v>
      </c>
      <c r="K5" s="2">
        <f t="shared" si="4"/>
        <v>6.9139916999999977</v>
      </c>
      <c r="L5" t="s">
        <v>9</v>
      </c>
      <c r="N5" t="s">
        <v>0</v>
      </c>
      <c r="O5" s="1">
        <v>0.45174768518518521</v>
      </c>
      <c r="P5" s="2">
        <v>1385726776</v>
      </c>
      <c r="Q5" s="2">
        <v>34984392</v>
      </c>
      <c r="R5" s="2">
        <v>1420711168</v>
      </c>
      <c r="W5">
        <f t="shared" si="5"/>
        <v>1.1970719999999999</v>
      </c>
      <c r="X5">
        <f t="shared" si="1"/>
        <v>0.66192799999999996</v>
      </c>
      <c r="Y5">
        <f t="shared" si="2"/>
        <v>1.859</v>
      </c>
      <c r="AA5">
        <f t="shared" si="3"/>
        <v>1385.726776</v>
      </c>
      <c r="AB5">
        <f t="shared" si="0"/>
        <v>34.984392</v>
      </c>
      <c r="AC5">
        <f t="shared" si="0"/>
        <v>1420.711168</v>
      </c>
    </row>
    <row r="6" spans="1:29" x14ac:dyDescent="0.35">
      <c r="A6" t="s">
        <v>0</v>
      </c>
      <c r="B6" s="1">
        <v>0.43829861111111112</v>
      </c>
      <c r="C6" s="2">
        <v>1050136</v>
      </c>
      <c r="D6" s="2">
        <v>441280</v>
      </c>
      <c r="E6" s="2">
        <v>1491416</v>
      </c>
      <c r="G6" s="6" t="s">
        <v>6</v>
      </c>
      <c r="H6" s="6"/>
      <c r="I6" s="6"/>
      <c r="J6">
        <f>PERCENTILE(D:D,0.95)/60</f>
        <v>118539.75333333311</v>
      </c>
      <c r="K6" s="2">
        <f t="shared" si="4"/>
        <v>0.11853975333333311</v>
      </c>
      <c r="L6" t="s">
        <v>9</v>
      </c>
      <c r="N6" t="s">
        <v>0</v>
      </c>
      <c r="O6" s="1">
        <v>0.45523148148148146</v>
      </c>
      <c r="P6" s="2">
        <v>1368202176</v>
      </c>
      <c r="Q6" s="2">
        <v>10049992</v>
      </c>
      <c r="R6" s="2">
        <v>1378252168</v>
      </c>
      <c r="W6">
        <f t="shared" si="5"/>
        <v>1.050136</v>
      </c>
      <c r="X6">
        <f t="shared" si="1"/>
        <v>0.44128000000000001</v>
      </c>
      <c r="Y6">
        <f t="shared" si="2"/>
        <v>1.4914160000000001</v>
      </c>
      <c r="AA6">
        <f t="shared" si="3"/>
        <v>1368.202176</v>
      </c>
      <c r="AB6">
        <f t="shared" si="0"/>
        <v>10.049992</v>
      </c>
      <c r="AC6">
        <f t="shared" si="0"/>
        <v>1378.252168</v>
      </c>
    </row>
    <row r="7" spans="1:29" x14ac:dyDescent="0.35">
      <c r="A7" t="s">
        <v>0</v>
      </c>
      <c r="B7" s="1">
        <v>0.43899305555555557</v>
      </c>
      <c r="C7" s="2">
        <v>357072992</v>
      </c>
      <c r="D7" s="2">
        <v>6642096</v>
      </c>
      <c r="E7" s="2">
        <v>363715088</v>
      </c>
      <c r="G7" s="6" t="s">
        <v>7</v>
      </c>
      <c r="H7" s="6"/>
      <c r="I7" s="6"/>
      <c r="J7">
        <f>PERCENTILE(E:E,0.95)/60</f>
        <v>7088288.053333329</v>
      </c>
      <c r="K7" s="2">
        <f t="shared" si="4"/>
        <v>7.0882880533333292</v>
      </c>
      <c r="L7" t="s">
        <v>9</v>
      </c>
      <c r="N7" t="s">
        <v>0</v>
      </c>
      <c r="O7" s="1">
        <v>0.45871527777777776</v>
      </c>
      <c r="P7" s="2">
        <v>1015235712</v>
      </c>
      <c r="Q7" s="2">
        <v>9121424</v>
      </c>
      <c r="R7" s="2">
        <v>1024357136</v>
      </c>
      <c r="W7">
        <f t="shared" si="5"/>
        <v>357.072992</v>
      </c>
      <c r="X7">
        <f t="shared" si="1"/>
        <v>6.6420960000000004</v>
      </c>
      <c r="Y7">
        <f t="shared" si="2"/>
        <v>363.71508799999998</v>
      </c>
      <c r="AA7">
        <f t="shared" si="3"/>
        <v>1015.235712</v>
      </c>
      <c r="AB7">
        <f t="shared" si="0"/>
        <v>9.1214239999999993</v>
      </c>
      <c r="AC7">
        <f t="shared" si="0"/>
        <v>1024.3571360000001</v>
      </c>
    </row>
    <row r="8" spans="1:29" x14ac:dyDescent="0.35">
      <c r="A8" t="s">
        <v>0</v>
      </c>
      <c r="B8" s="1">
        <v>0.43968750000000001</v>
      </c>
      <c r="C8" s="2">
        <v>5294992</v>
      </c>
      <c r="D8" s="2">
        <v>1236096</v>
      </c>
      <c r="E8" s="2">
        <v>6531088</v>
      </c>
      <c r="K8" s="2"/>
      <c r="N8" t="s">
        <v>0</v>
      </c>
      <c r="O8" s="1">
        <v>0.46218749999999997</v>
      </c>
      <c r="P8" s="2">
        <v>916053888</v>
      </c>
      <c r="Q8" s="2">
        <v>8376640</v>
      </c>
      <c r="R8" s="2">
        <v>924430528</v>
      </c>
      <c r="W8">
        <f t="shared" si="5"/>
        <v>5.2949919999999997</v>
      </c>
      <c r="X8">
        <f t="shared" si="1"/>
        <v>1.2360960000000001</v>
      </c>
      <c r="Y8">
        <f t="shared" si="2"/>
        <v>6.5310879999999996</v>
      </c>
      <c r="AA8">
        <f t="shared" si="3"/>
        <v>916.05388800000003</v>
      </c>
      <c r="AB8">
        <f t="shared" si="0"/>
        <v>8.3766400000000001</v>
      </c>
      <c r="AC8">
        <f t="shared" si="0"/>
        <v>924.43052799999998</v>
      </c>
    </row>
    <row r="9" spans="1:29" x14ac:dyDescent="0.35">
      <c r="A9" t="s">
        <v>0</v>
      </c>
      <c r="B9" s="1">
        <v>0.44038194444444445</v>
      </c>
      <c r="C9" s="2">
        <v>1958328</v>
      </c>
      <c r="D9" s="2">
        <v>534000</v>
      </c>
      <c r="E9" s="2">
        <v>2492328</v>
      </c>
      <c r="K9" s="2"/>
      <c r="N9" t="s">
        <v>0</v>
      </c>
      <c r="O9" s="1">
        <v>0.46567129629629628</v>
      </c>
      <c r="P9" s="2">
        <v>1549873600</v>
      </c>
      <c r="Q9" s="2">
        <v>11182360</v>
      </c>
      <c r="R9" s="2">
        <v>1561055960</v>
      </c>
      <c r="W9">
        <f t="shared" si="5"/>
        <v>1.9583280000000001</v>
      </c>
      <c r="X9">
        <f t="shared" si="1"/>
        <v>0.53400000000000003</v>
      </c>
      <c r="Y9">
        <f t="shared" si="2"/>
        <v>2.4923280000000001</v>
      </c>
      <c r="AA9">
        <f t="shared" si="3"/>
        <v>1549.8735999999999</v>
      </c>
      <c r="AB9">
        <f t="shared" si="0"/>
        <v>11.182359999999999</v>
      </c>
      <c r="AC9">
        <f t="shared" si="0"/>
        <v>1561.0559599999999</v>
      </c>
    </row>
    <row r="10" spans="1:29" x14ac:dyDescent="0.35">
      <c r="A10" t="s">
        <v>0</v>
      </c>
      <c r="B10" s="1">
        <v>0.44107638888888889</v>
      </c>
      <c r="C10" s="2">
        <v>24423568</v>
      </c>
      <c r="D10" s="2">
        <v>1703296</v>
      </c>
      <c r="E10" s="2">
        <v>26126864</v>
      </c>
      <c r="G10" s="6" t="s">
        <v>8</v>
      </c>
      <c r="H10" s="6"/>
      <c r="I10" s="6"/>
      <c r="K10" s="2"/>
      <c r="N10" t="s">
        <v>0</v>
      </c>
      <c r="O10" s="1">
        <v>0.46915509259259258</v>
      </c>
      <c r="P10" s="2">
        <v>920809104</v>
      </c>
      <c r="Q10" s="2">
        <v>13111048</v>
      </c>
      <c r="R10" s="2">
        <v>933920152</v>
      </c>
      <c r="W10">
        <f t="shared" si="5"/>
        <v>24.423568</v>
      </c>
      <c r="X10">
        <f t="shared" si="1"/>
        <v>1.7032959999999999</v>
      </c>
      <c r="Y10">
        <f t="shared" si="2"/>
        <v>26.126864000000001</v>
      </c>
      <c r="AA10">
        <f t="shared" si="3"/>
        <v>920.80910400000005</v>
      </c>
      <c r="AB10">
        <f t="shared" si="0"/>
        <v>13.111048</v>
      </c>
      <c r="AC10">
        <f t="shared" si="0"/>
        <v>933.92015200000003</v>
      </c>
    </row>
    <row r="11" spans="1:29" x14ac:dyDescent="0.35">
      <c r="A11" t="s">
        <v>0</v>
      </c>
      <c r="B11" s="1">
        <v>0.44178240740740743</v>
      </c>
      <c r="C11" s="2">
        <v>183533224</v>
      </c>
      <c r="D11" s="2">
        <v>4803176</v>
      </c>
      <c r="E11" s="2">
        <v>188336400</v>
      </c>
      <c r="G11" s="6" t="s">
        <v>1</v>
      </c>
      <c r="H11" s="6"/>
      <c r="I11" s="6"/>
      <c r="J11" s="2">
        <f>AVERAGE(P:P)/(60*5)</f>
        <v>2215430.0770833334</v>
      </c>
      <c r="K11" s="2">
        <f t="shared" si="4"/>
        <v>2.2154300770833335</v>
      </c>
      <c r="L11" t="s">
        <v>9</v>
      </c>
      <c r="M11" s="3"/>
      <c r="N11" t="s">
        <v>0</v>
      </c>
      <c r="O11" s="1">
        <v>0.47262731481481479</v>
      </c>
      <c r="P11" s="2">
        <v>969783384</v>
      </c>
      <c r="Q11" s="2">
        <v>8498312</v>
      </c>
      <c r="R11" s="2">
        <v>978281696</v>
      </c>
      <c r="W11">
        <f t="shared" si="5"/>
        <v>183.53322399999999</v>
      </c>
      <c r="X11">
        <f t="shared" si="1"/>
        <v>4.8031759999999997</v>
      </c>
      <c r="Y11">
        <f t="shared" si="2"/>
        <v>188.3364</v>
      </c>
      <c r="AA11">
        <f t="shared" si="3"/>
        <v>969.78338399999996</v>
      </c>
      <c r="AB11">
        <f t="shared" si="0"/>
        <v>8.4983120000000003</v>
      </c>
      <c r="AC11">
        <f t="shared" si="0"/>
        <v>978.28169600000001</v>
      </c>
    </row>
    <row r="12" spans="1:29" x14ac:dyDescent="0.35">
      <c r="A12" t="s">
        <v>0</v>
      </c>
      <c r="B12" s="1">
        <v>0.44247685185185187</v>
      </c>
      <c r="C12" s="2">
        <v>483361944</v>
      </c>
      <c r="D12" s="2">
        <v>4874968</v>
      </c>
      <c r="E12" s="2">
        <v>488236912</v>
      </c>
      <c r="G12" s="6" t="s">
        <v>3</v>
      </c>
      <c r="H12" s="6"/>
      <c r="I12" s="6"/>
      <c r="J12" s="2">
        <f>AVERAGE(Q:Q)/(60*5)</f>
        <v>44939.412083333336</v>
      </c>
      <c r="K12" s="2">
        <f t="shared" si="4"/>
        <v>4.4939412083333338E-2</v>
      </c>
      <c r="L12" t="s">
        <v>9</v>
      </c>
      <c r="M12" s="3"/>
      <c r="N12" t="s">
        <v>0</v>
      </c>
      <c r="O12" s="1">
        <v>0.4761111111111111</v>
      </c>
      <c r="P12" s="2">
        <v>1570873472</v>
      </c>
      <c r="Q12" s="2">
        <v>10101520</v>
      </c>
      <c r="R12" s="2">
        <v>1580974992</v>
      </c>
      <c r="W12">
        <f t="shared" si="5"/>
        <v>483.36194399999999</v>
      </c>
      <c r="X12">
        <f t="shared" si="1"/>
        <v>4.874968</v>
      </c>
      <c r="Y12">
        <f t="shared" si="2"/>
        <v>488.23691200000002</v>
      </c>
      <c r="AA12">
        <f t="shared" si="3"/>
        <v>1570.873472</v>
      </c>
      <c r="AB12">
        <f t="shared" si="0"/>
        <v>10.101520000000001</v>
      </c>
      <c r="AC12">
        <f t="shared" si="0"/>
        <v>1580.9749919999999</v>
      </c>
    </row>
    <row r="13" spans="1:29" x14ac:dyDescent="0.35">
      <c r="A13" t="s">
        <v>0</v>
      </c>
      <c r="B13" s="1">
        <v>0.44317129629629631</v>
      </c>
      <c r="C13" s="2">
        <v>21281720</v>
      </c>
      <c r="D13" s="2">
        <v>3440256</v>
      </c>
      <c r="E13" s="2">
        <v>24721976</v>
      </c>
      <c r="G13" s="6" t="s">
        <v>4</v>
      </c>
      <c r="H13" s="6"/>
      <c r="I13" s="6"/>
      <c r="J13" s="2">
        <f>AVERAGE(R:R)/(60*5)</f>
        <v>2260369.4891666668</v>
      </c>
      <c r="K13" s="2">
        <f t="shared" si="4"/>
        <v>2.2603694891666666</v>
      </c>
      <c r="L13" t="s">
        <v>9</v>
      </c>
      <c r="M13" s="3"/>
      <c r="N13" t="s">
        <v>0</v>
      </c>
      <c r="O13" s="1">
        <v>0.47958333333333331</v>
      </c>
      <c r="P13" s="2">
        <v>878090920</v>
      </c>
      <c r="Q13" s="2">
        <v>6150168</v>
      </c>
      <c r="R13" s="2">
        <v>884241088</v>
      </c>
      <c r="W13">
        <f t="shared" si="5"/>
        <v>21.28172</v>
      </c>
      <c r="X13">
        <f t="shared" si="1"/>
        <v>3.4402560000000002</v>
      </c>
      <c r="Y13">
        <f t="shared" si="2"/>
        <v>24.721976000000002</v>
      </c>
      <c r="AA13">
        <f t="shared" si="3"/>
        <v>878.09091999999998</v>
      </c>
      <c r="AB13">
        <f t="shared" si="0"/>
        <v>6.1501679999999999</v>
      </c>
      <c r="AC13">
        <f t="shared" si="0"/>
        <v>884.24108799999999</v>
      </c>
    </row>
    <row r="14" spans="1:29" x14ac:dyDescent="0.35">
      <c r="A14" t="s">
        <v>0</v>
      </c>
      <c r="B14" s="1">
        <v>0.44386574074074076</v>
      </c>
      <c r="C14" s="2">
        <v>38977152</v>
      </c>
      <c r="D14" s="2">
        <v>6496424</v>
      </c>
      <c r="E14" s="2">
        <v>45473576</v>
      </c>
      <c r="G14" s="6" t="s">
        <v>5</v>
      </c>
      <c r="H14" s="6"/>
      <c r="I14" s="6"/>
      <c r="J14">
        <f>PERCENTILE(P:P,0.95)/(60*5)</f>
        <v>5186482.3600000003</v>
      </c>
      <c r="K14" s="2">
        <f t="shared" si="4"/>
        <v>5.1864823600000003</v>
      </c>
      <c r="L14" t="s">
        <v>9</v>
      </c>
      <c r="M14" s="3"/>
      <c r="N14" t="s">
        <v>0</v>
      </c>
      <c r="O14" s="1">
        <v>0.48306712962962961</v>
      </c>
      <c r="P14" s="2">
        <v>954472232</v>
      </c>
      <c r="Q14" s="2">
        <v>6975768</v>
      </c>
      <c r="R14" s="2">
        <v>961448000</v>
      </c>
      <c r="W14">
        <f t="shared" si="5"/>
        <v>38.977151999999997</v>
      </c>
      <c r="X14">
        <f t="shared" si="1"/>
        <v>6.4964240000000002</v>
      </c>
      <c r="Y14">
        <f t="shared" si="2"/>
        <v>45.473576000000001</v>
      </c>
      <c r="AA14">
        <f t="shared" si="3"/>
        <v>954.47223199999996</v>
      </c>
      <c r="AB14">
        <f t="shared" si="0"/>
        <v>6.9757680000000004</v>
      </c>
      <c r="AC14">
        <f t="shared" si="0"/>
        <v>961.44799999999998</v>
      </c>
    </row>
    <row r="15" spans="1:29" x14ac:dyDescent="0.35">
      <c r="A15" t="s">
        <v>0</v>
      </c>
      <c r="B15" s="1">
        <v>0.4445601851851852</v>
      </c>
      <c r="C15" s="2">
        <v>40535272</v>
      </c>
      <c r="D15" s="2">
        <v>1712744</v>
      </c>
      <c r="E15" s="2">
        <v>42248016</v>
      </c>
      <c r="G15" s="6" t="s">
        <v>6</v>
      </c>
      <c r="H15" s="6"/>
      <c r="I15" s="6"/>
      <c r="J15">
        <f>PERCENTILE(Q:Q,0.95)/(60*5)</f>
        <v>115354.51199999996</v>
      </c>
      <c r="K15" s="2">
        <f t="shared" si="4"/>
        <v>0.11535451199999996</v>
      </c>
      <c r="L15" t="s">
        <v>9</v>
      </c>
      <c r="M15" s="3"/>
      <c r="N15" t="s">
        <v>0</v>
      </c>
      <c r="O15" s="1">
        <v>0.48655092592592591</v>
      </c>
      <c r="P15" s="2">
        <v>285899624</v>
      </c>
      <c r="Q15" s="2">
        <v>17855656</v>
      </c>
      <c r="R15" s="2">
        <v>303755280</v>
      </c>
      <c r="W15">
        <f t="shared" si="5"/>
        <v>40.535271999999999</v>
      </c>
      <c r="X15">
        <f t="shared" si="1"/>
        <v>1.712744</v>
      </c>
      <c r="Y15">
        <f t="shared" si="2"/>
        <v>42.248016</v>
      </c>
      <c r="AA15">
        <f t="shared" si="3"/>
        <v>285.89962400000002</v>
      </c>
      <c r="AB15">
        <f t="shared" si="0"/>
        <v>17.855656</v>
      </c>
      <c r="AC15">
        <f t="shared" si="0"/>
        <v>303.75528000000003</v>
      </c>
    </row>
    <row r="16" spans="1:29" x14ac:dyDescent="0.35">
      <c r="A16" t="s">
        <v>0</v>
      </c>
      <c r="B16" s="1">
        <v>0.44525462962962964</v>
      </c>
      <c r="C16" s="2">
        <v>3006000</v>
      </c>
      <c r="D16" s="2">
        <v>59685336</v>
      </c>
      <c r="E16" s="2">
        <v>62691336</v>
      </c>
      <c r="G16" s="6" t="s">
        <v>7</v>
      </c>
      <c r="H16" s="6"/>
      <c r="I16" s="6"/>
      <c r="J16">
        <f>PERCENTILE(R:R,0.95)/(60*5)</f>
        <v>5228721.5053333333</v>
      </c>
      <c r="K16" s="2">
        <f t="shared" si="4"/>
        <v>5.2287215053333336</v>
      </c>
      <c r="L16" t="s">
        <v>9</v>
      </c>
      <c r="M16" s="3"/>
      <c r="N16" t="s">
        <v>0</v>
      </c>
      <c r="O16" s="1">
        <v>0.49002314814814812</v>
      </c>
      <c r="P16" s="2">
        <v>8604824</v>
      </c>
      <c r="Q16" s="2">
        <v>10419800</v>
      </c>
      <c r="R16" s="2">
        <v>19024624</v>
      </c>
      <c r="W16">
        <f t="shared" si="5"/>
        <v>3.0059999999999998</v>
      </c>
      <c r="X16">
        <f t="shared" si="1"/>
        <v>59.685336</v>
      </c>
      <c r="Y16">
        <f t="shared" si="2"/>
        <v>62.691336</v>
      </c>
      <c r="AA16">
        <f t="shared" si="3"/>
        <v>8.6048240000000007</v>
      </c>
      <c r="AB16">
        <f t="shared" si="0"/>
        <v>10.4198</v>
      </c>
      <c r="AC16">
        <f t="shared" si="0"/>
        <v>19.024623999999999</v>
      </c>
    </row>
    <row r="17" spans="1:29" x14ac:dyDescent="0.35">
      <c r="A17" t="s">
        <v>0</v>
      </c>
      <c r="B17" s="1">
        <v>0.44594907407407408</v>
      </c>
      <c r="C17" s="2">
        <v>21835456</v>
      </c>
      <c r="D17" s="2">
        <v>1191288</v>
      </c>
      <c r="E17" s="2">
        <v>23026744</v>
      </c>
      <c r="K17" s="4"/>
      <c r="N17" t="s">
        <v>0</v>
      </c>
      <c r="O17" s="1">
        <v>0.49350694444444443</v>
      </c>
      <c r="P17" s="2">
        <v>163607160</v>
      </c>
      <c r="Q17" s="2">
        <v>48559240</v>
      </c>
      <c r="R17" s="2">
        <v>212166400</v>
      </c>
      <c r="W17">
        <f t="shared" si="5"/>
        <v>21.835456000000001</v>
      </c>
      <c r="X17">
        <f t="shared" si="1"/>
        <v>1.1912879999999999</v>
      </c>
      <c r="Y17">
        <f t="shared" si="2"/>
        <v>23.026744000000001</v>
      </c>
      <c r="AA17">
        <f t="shared" si="3"/>
        <v>163.60715999999999</v>
      </c>
      <c r="AB17">
        <f t="shared" si="3"/>
        <v>48.559240000000003</v>
      </c>
      <c r="AC17">
        <f t="shared" si="3"/>
        <v>212.16640000000001</v>
      </c>
    </row>
    <row r="18" spans="1:29" x14ac:dyDescent="0.35">
      <c r="A18" t="s">
        <v>0</v>
      </c>
      <c r="B18" s="1">
        <v>0.44664351851851852</v>
      </c>
      <c r="C18" s="2">
        <v>45235040</v>
      </c>
      <c r="D18" s="2">
        <v>1870392</v>
      </c>
      <c r="E18" s="2">
        <v>47105432</v>
      </c>
      <c r="N18" t="s">
        <v>0</v>
      </c>
      <c r="O18" s="1">
        <v>0.49697916666666669</v>
      </c>
      <c r="P18" s="2">
        <v>63446136</v>
      </c>
      <c r="Q18" s="2">
        <v>17585112</v>
      </c>
      <c r="R18" s="2">
        <v>81031248</v>
      </c>
      <c r="W18">
        <f t="shared" si="5"/>
        <v>45.235039999999998</v>
      </c>
      <c r="X18">
        <f t="shared" si="1"/>
        <v>1.8703920000000001</v>
      </c>
      <c r="Y18">
        <f t="shared" si="2"/>
        <v>47.105432</v>
      </c>
      <c r="AA18">
        <f t="shared" si="3"/>
        <v>63.446136000000003</v>
      </c>
      <c r="AB18">
        <f t="shared" si="3"/>
        <v>17.585111999999999</v>
      </c>
      <c r="AC18">
        <f t="shared" si="3"/>
        <v>81.031248000000005</v>
      </c>
    </row>
    <row r="19" spans="1:29" x14ac:dyDescent="0.35">
      <c r="A19" t="s">
        <v>0</v>
      </c>
      <c r="B19" s="1">
        <v>0.44734953703703706</v>
      </c>
      <c r="C19" s="2">
        <v>38819816</v>
      </c>
      <c r="D19" s="2">
        <v>2872576</v>
      </c>
      <c r="E19" s="2">
        <v>41692392</v>
      </c>
      <c r="G19" s="5" t="s">
        <v>10</v>
      </c>
      <c r="H19" s="5"/>
      <c r="I19" s="5"/>
      <c r="J19" s="5"/>
      <c r="K19" s="5"/>
      <c r="L19" s="5"/>
      <c r="N19" t="s">
        <v>0</v>
      </c>
      <c r="O19" s="1">
        <v>0.50045138888888885</v>
      </c>
      <c r="P19" s="2">
        <v>10927120</v>
      </c>
      <c r="Q19" s="2">
        <v>13739952</v>
      </c>
      <c r="R19" s="2">
        <v>24667072</v>
      </c>
      <c r="W19">
        <f t="shared" si="5"/>
        <v>38.819816000000003</v>
      </c>
      <c r="X19">
        <f t="shared" si="1"/>
        <v>2.872576</v>
      </c>
      <c r="Y19">
        <f t="shared" si="2"/>
        <v>41.692391999999998</v>
      </c>
      <c r="AA19">
        <f t="shared" si="3"/>
        <v>10.92712</v>
      </c>
      <c r="AB19">
        <f t="shared" si="3"/>
        <v>13.739952000000001</v>
      </c>
      <c r="AC19">
        <f t="shared" si="3"/>
        <v>24.667072000000001</v>
      </c>
    </row>
    <row r="20" spans="1:29" x14ac:dyDescent="0.35">
      <c r="A20" t="s">
        <v>0</v>
      </c>
      <c r="B20" s="1">
        <v>0.4480439814814815</v>
      </c>
      <c r="C20" s="2">
        <v>49287504</v>
      </c>
      <c r="D20" s="2">
        <v>669736</v>
      </c>
      <c r="E20" s="2">
        <v>49957240</v>
      </c>
      <c r="N20" t="s">
        <v>0</v>
      </c>
      <c r="O20" s="1">
        <v>0.50393518518518521</v>
      </c>
      <c r="P20" s="2">
        <v>24219320</v>
      </c>
      <c r="Q20" s="2">
        <v>18389880</v>
      </c>
      <c r="R20" s="2">
        <v>42609200</v>
      </c>
      <c r="W20">
        <f t="shared" si="5"/>
        <v>49.287503999999998</v>
      </c>
      <c r="X20">
        <f t="shared" si="1"/>
        <v>0.669736</v>
      </c>
      <c r="Y20">
        <f t="shared" si="2"/>
        <v>49.957239999999999</v>
      </c>
      <c r="AA20">
        <f t="shared" si="3"/>
        <v>24.21932</v>
      </c>
      <c r="AB20">
        <f t="shared" si="3"/>
        <v>18.389880000000002</v>
      </c>
      <c r="AC20">
        <f t="shared" si="3"/>
        <v>42.609200000000001</v>
      </c>
    </row>
    <row r="21" spans="1:29" x14ac:dyDescent="0.35">
      <c r="A21" t="s">
        <v>0</v>
      </c>
      <c r="B21" s="1">
        <v>0.44873842592592594</v>
      </c>
      <c r="C21" s="2">
        <v>288917736</v>
      </c>
      <c r="D21" s="2">
        <v>2235712</v>
      </c>
      <c r="E21" s="2">
        <v>291153448</v>
      </c>
      <c r="N21" t="s">
        <v>0</v>
      </c>
      <c r="O21" s="1">
        <v>0.50740740740740742</v>
      </c>
      <c r="P21" s="2">
        <v>195115240</v>
      </c>
      <c r="Q21" s="2">
        <v>17763400</v>
      </c>
      <c r="R21" s="2">
        <v>212878640</v>
      </c>
      <c r="W21">
        <f t="shared" si="5"/>
        <v>288.91773599999999</v>
      </c>
      <c r="X21">
        <f t="shared" si="1"/>
        <v>2.2357119999999999</v>
      </c>
      <c r="Y21">
        <f t="shared" si="2"/>
        <v>291.15344800000003</v>
      </c>
      <c r="AA21">
        <f t="shared" si="3"/>
        <v>195.11524</v>
      </c>
      <c r="AB21">
        <f t="shared" si="3"/>
        <v>17.763400000000001</v>
      </c>
      <c r="AC21">
        <f t="shared" si="3"/>
        <v>212.87863999999999</v>
      </c>
    </row>
    <row r="22" spans="1:29" x14ac:dyDescent="0.35">
      <c r="A22" t="s">
        <v>0</v>
      </c>
      <c r="B22" s="1">
        <v>0.44943287037037039</v>
      </c>
      <c r="C22" s="2">
        <v>286089288</v>
      </c>
      <c r="D22" s="2">
        <v>1957280</v>
      </c>
      <c r="E22" s="2">
        <v>288046568</v>
      </c>
      <c r="N22" t="s">
        <v>0</v>
      </c>
      <c r="O22" s="1">
        <v>0.51089120370370367</v>
      </c>
      <c r="P22" s="2">
        <v>31942808</v>
      </c>
      <c r="Q22" s="2">
        <v>11167880</v>
      </c>
      <c r="R22" s="2">
        <v>43110688</v>
      </c>
      <c r="W22">
        <f t="shared" si="5"/>
        <v>286.08928800000001</v>
      </c>
      <c r="X22">
        <f t="shared" si="1"/>
        <v>1.9572799999999999</v>
      </c>
      <c r="Y22">
        <f t="shared" si="2"/>
        <v>288.04656799999998</v>
      </c>
      <c r="AA22">
        <f t="shared" si="3"/>
        <v>31.942807999999999</v>
      </c>
      <c r="AB22">
        <f t="shared" si="3"/>
        <v>11.16788</v>
      </c>
      <c r="AC22">
        <f t="shared" si="3"/>
        <v>43.110688000000003</v>
      </c>
    </row>
    <row r="23" spans="1:29" x14ac:dyDescent="0.35">
      <c r="A23" t="s">
        <v>0</v>
      </c>
      <c r="B23" s="1">
        <v>0.45012731481481483</v>
      </c>
      <c r="C23" s="2">
        <v>204477960</v>
      </c>
      <c r="D23" s="2">
        <v>1657504</v>
      </c>
      <c r="E23" s="2">
        <v>206135464</v>
      </c>
      <c r="N23" t="s">
        <v>0</v>
      </c>
      <c r="O23" s="1">
        <v>0.51436342592592588</v>
      </c>
      <c r="P23" s="2">
        <v>7641936</v>
      </c>
      <c r="Q23" s="2">
        <v>4577800</v>
      </c>
      <c r="R23" s="2">
        <v>12219736</v>
      </c>
      <c r="W23">
        <f t="shared" si="5"/>
        <v>204.47796</v>
      </c>
      <c r="X23">
        <f t="shared" si="1"/>
        <v>1.6575040000000001</v>
      </c>
      <c r="Y23">
        <f t="shared" si="2"/>
        <v>206.13546400000001</v>
      </c>
      <c r="AA23">
        <f t="shared" si="3"/>
        <v>7.6419360000000003</v>
      </c>
      <c r="AB23">
        <f t="shared" si="3"/>
        <v>4.5777999999999999</v>
      </c>
      <c r="AC23">
        <f t="shared" si="3"/>
        <v>12.219735999999999</v>
      </c>
    </row>
    <row r="24" spans="1:29" x14ac:dyDescent="0.35">
      <c r="A24" t="s">
        <v>0</v>
      </c>
      <c r="B24" s="1">
        <v>0.45082175925925927</v>
      </c>
      <c r="C24" s="2">
        <v>172967848</v>
      </c>
      <c r="D24" s="2">
        <v>7221968</v>
      </c>
      <c r="E24" s="2">
        <v>180189816</v>
      </c>
      <c r="N24" t="s">
        <v>0</v>
      </c>
      <c r="O24" s="1">
        <v>0.51784722222222224</v>
      </c>
      <c r="P24" s="2">
        <v>5527792</v>
      </c>
      <c r="Q24" s="2">
        <v>3655648</v>
      </c>
      <c r="R24" s="2">
        <v>9183440</v>
      </c>
      <c r="W24">
        <f t="shared" si="5"/>
        <v>172.967848</v>
      </c>
      <c r="X24">
        <f t="shared" si="1"/>
        <v>7.2219680000000004</v>
      </c>
      <c r="Y24">
        <f t="shared" si="2"/>
        <v>180.18981600000001</v>
      </c>
      <c r="AA24">
        <f t="shared" si="3"/>
        <v>5.5277919999999998</v>
      </c>
      <c r="AB24">
        <f t="shared" si="3"/>
        <v>3.6556479999999998</v>
      </c>
      <c r="AC24">
        <f t="shared" si="3"/>
        <v>9.1834399999999992</v>
      </c>
    </row>
    <row r="25" spans="1:29" x14ac:dyDescent="0.35">
      <c r="A25" t="s">
        <v>0</v>
      </c>
      <c r="B25" s="1">
        <v>0.45151620370370371</v>
      </c>
      <c r="C25" s="2">
        <v>410295504</v>
      </c>
      <c r="D25" s="2">
        <v>21527288</v>
      </c>
      <c r="E25" s="2">
        <v>431822792</v>
      </c>
      <c r="N25" t="s">
        <v>0</v>
      </c>
      <c r="O25" s="1">
        <v>0.52133101851851849</v>
      </c>
      <c r="P25" s="2">
        <v>4948944</v>
      </c>
      <c r="Q25" s="2">
        <v>2982536</v>
      </c>
      <c r="R25" s="2">
        <v>7931480</v>
      </c>
      <c r="W25">
        <f t="shared" si="5"/>
        <v>410.29550399999999</v>
      </c>
      <c r="X25">
        <f t="shared" si="1"/>
        <v>21.527287999999999</v>
      </c>
      <c r="Y25">
        <f t="shared" si="2"/>
        <v>431.82279199999999</v>
      </c>
      <c r="AA25">
        <f t="shared" si="3"/>
        <v>4.948944</v>
      </c>
      <c r="AB25">
        <f t="shared" si="3"/>
        <v>2.9825360000000001</v>
      </c>
      <c r="AC25">
        <f t="shared" si="3"/>
        <v>7.9314799999999996</v>
      </c>
    </row>
    <row r="26" spans="1:29" x14ac:dyDescent="0.35">
      <c r="A26" t="s">
        <v>0</v>
      </c>
      <c r="B26" s="1">
        <v>0.45221064814814815</v>
      </c>
      <c r="C26" s="2">
        <v>385383944</v>
      </c>
      <c r="D26" s="2">
        <v>3013872</v>
      </c>
      <c r="E26" s="2">
        <v>388397816</v>
      </c>
      <c r="N26" t="s">
        <v>0</v>
      </c>
      <c r="O26" s="1">
        <v>0.5248032407407407</v>
      </c>
      <c r="P26" s="2">
        <v>4973568</v>
      </c>
      <c r="Q26" s="2">
        <v>3018192</v>
      </c>
      <c r="R26" s="2">
        <v>7991760</v>
      </c>
      <c r="W26">
        <f t="shared" si="5"/>
        <v>385.38394399999999</v>
      </c>
      <c r="X26">
        <f t="shared" si="1"/>
        <v>3.0138720000000001</v>
      </c>
      <c r="Y26">
        <f t="shared" si="2"/>
        <v>388.39781599999998</v>
      </c>
      <c r="AA26">
        <f t="shared" si="3"/>
        <v>4.9735680000000002</v>
      </c>
      <c r="AB26">
        <f t="shared" si="3"/>
        <v>3.018192</v>
      </c>
      <c r="AC26">
        <f t="shared" si="3"/>
        <v>7.9917600000000002</v>
      </c>
    </row>
    <row r="27" spans="1:29" x14ac:dyDescent="0.35">
      <c r="A27" t="s">
        <v>0</v>
      </c>
      <c r="B27" s="1">
        <v>0.45291666666666669</v>
      </c>
      <c r="C27" s="2">
        <v>282462648</v>
      </c>
      <c r="D27" s="2">
        <v>2290840</v>
      </c>
      <c r="E27" s="2">
        <v>284753488</v>
      </c>
      <c r="N27" t="s">
        <v>0</v>
      </c>
      <c r="O27" s="1">
        <v>0.52828703703703705</v>
      </c>
      <c r="P27" s="2">
        <v>5731208</v>
      </c>
      <c r="Q27" s="2">
        <v>3574088</v>
      </c>
      <c r="R27" s="2">
        <v>9305296</v>
      </c>
      <c r="W27">
        <f t="shared" si="5"/>
        <v>282.462648</v>
      </c>
      <c r="X27">
        <f t="shared" si="1"/>
        <v>2.2908400000000002</v>
      </c>
      <c r="Y27">
        <f t="shared" si="2"/>
        <v>284.753488</v>
      </c>
      <c r="AA27">
        <f t="shared" si="3"/>
        <v>5.7312079999999996</v>
      </c>
      <c r="AB27">
        <f t="shared" si="3"/>
        <v>3.5740880000000002</v>
      </c>
      <c r="AC27">
        <f t="shared" si="3"/>
        <v>9.3052960000000002</v>
      </c>
    </row>
    <row r="28" spans="1:29" x14ac:dyDescent="0.35">
      <c r="A28" t="s">
        <v>0</v>
      </c>
      <c r="B28" s="1">
        <v>0.45361111111111113</v>
      </c>
      <c r="C28" s="2">
        <v>314404576</v>
      </c>
      <c r="D28" s="2">
        <v>1957632</v>
      </c>
      <c r="E28" s="2">
        <v>316362208</v>
      </c>
      <c r="N28" t="s">
        <v>0</v>
      </c>
      <c r="O28" s="1">
        <v>0.5317708333333333</v>
      </c>
      <c r="P28" s="2">
        <v>5212792</v>
      </c>
      <c r="Q28" s="2">
        <v>4230696</v>
      </c>
      <c r="R28" s="2">
        <v>9443488</v>
      </c>
      <c r="W28">
        <f t="shared" si="5"/>
        <v>314.40457600000002</v>
      </c>
      <c r="X28">
        <f t="shared" si="1"/>
        <v>1.957632</v>
      </c>
      <c r="Y28">
        <f t="shared" si="2"/>
        <v>316.36220800000001</v>
      </c>
      <c r="AA28">
        <f t="shared" si="3"/>
        <v>5.2127920000000003</v>
      </c>
      <c r="AB28">
        <f t="shared" si="3"/>
        <v>4.230696</v>
      </c>
      <c r="AC28">
        <f t="shared" si="3"/>
        <v>9.4434880000000003</v>
      </c>
    </row>
    <row r="29" spans="1:29" x14ac:dyDescent="0.35">
      <c r="A29" t="s">
        <v>0</v>
      </c>
      <c r="B29" s="1">
        <v>0.45430555555555557</v>
      </c>
      <c r="C29" s="2">
        <v>101148232</v>
      </c>
      <c r="D29" s="2">
        <v>1159448</v>
      </c>
      <c r="E29" s="2">
        <v>102307680</v>
      </c>
      <c r="N29" t="s">
        <v>0</v>
      </c>
      <c r="O29" s="1">
        <v>0.53524305555555551</v>
      </c>
      <c r="P29" s="2">
        <v>4721624</v>
      </c>
      <c r="Q29" s="2">
        <v>2476824</v>
      </c>
      <c r="R29" s="2">
        <v>7198448</v>
      </c>
      <c r="W29">
        <f t="shared" si="5"/>
        <v>101.14823199999999</v>
      </c>
      <c r="X29">
        <f t="shared" si="1"/>
        <v>1.159448</v>
      </c>
      <c r="Y29">
        <f t="shared" si="2"/>
        <v>102.30768</v>
      </c>
      <c r="AA29">
        <f t="shared" si="3"/>
        <v>4.7216240000000003</v>
      </c>
      <c r="AB29">
        <f t="shared" si="3"/>
        <v>2.4768240000000001</v>
      </c>
      <c r="AC29">
        <f t="shared" si="3"/>
        <v>7.198448</v>
      </c>
    </row>
    <row r="30" spans="1:29" x14ac:dyDescent="0.35">
      <c r="A30" t="s">
        <v>0</v>
      </c>
      <c r="B30" s="1">
        <v>0.45500000000000002</v>
      </c>
      <c r="C30" s="2">
        <v>283299520</v>
      </c>
      <c r="D30" s="2">
        <v>1994192</v>
      </c>
      <c r="E30" s="2">
        <v>285293712</v>
      </c>
      <c r="N30" t="s">
        <v>0</v>
      </c>
      <c r="O30" s="1">
        <v>0.53872685185185187</v>
      </c>
      <c r="P30" s="2">
        <v>3736384</v>
      </c>
      <c r="Q30" s="2">
        <v>1710056</v>
      </c>
      <c r="R30" s="2">
        <v>5446440</v>
      </c>
      <c r="W30">
        <f t="shared" si="5"/>
        <v>283.29951999999997</v>
      </c>
      <c r="X30">
        <f t="shared" si="1"/>
        <v>1.994192</v>
      </c>
      <c r="Y30">
        <f t="shared" si="2"/>
        <v>285.29371200000003</v>
      </c>
      <c r="AA30">
        <f t="shared" si="3"/>
        <v>3.7363840000000001</v>
      </c>
      <c r="AB30">
        <f t="shared" si="3"/>
        <v>1.710056</v>
      </c>
      <c r="AC30">
        <f t="shared" si="3"/>
        <v>5.4464399999999999</v>
      </c>
    </row>
    <row r="31" spans="1:29" x14ac:dyDescent="0.35">
      <c r="A31" t="s">
        <v>0</v>
      </c>
      <c r="B31" s="1">
        <v>0.45569444444444446</v>
      </c>
      <c r="C31" s="2">
        <v>137094656</v>
      </c>
      <c r="D31" s="2">
        <v>1302440</v>
      </c>
      <c r="E31" s="2">
        <v>138397096</v>
      </c>
      <c r="N31" t="s">
        <v>0</v>
      </c>
      <c r="O31" s="1">
        <v>0.54219907407407408</v>
      </c>
      <c r="P31" s="2">
        <v>10164904</v>
      </c>
      <c r="Q31" s="2">
        <v>8243896</v>
      </c>
      <c r="R31" s="2">
        <v>18408800</v>
      </c>
      <c r="W31">
        <f t="shared" si="5"/>
        <v>137.09465599999999</v>
      </c>
      <c r="X31">
        <f t="shared" si="1"/>
        <v>1.30244</v>
      </c>
      <c r="Y31">
        <f t="shared" si="2"/>
        <v>138.397096</v>
      </c>
      <c r="AA31">
        <f t="shared" si="3"/>
        <v>10.164904</v>
      </c>
      <c r="AB31">
        <f t="shared" si="3"/>
        <v>8.2438959999999994</v>
      </c>
      <c r="AC31">
        <f t="shared" si="3"/>
        <v>18.408799999999999</v>
      </c>
    </row>
    <row r="32" spans="1:29" x14ac:dyDescent="0.35">
      <c r="A32" t="s">
        <v>0</v>
      </c>
      <c r="B32" s="1">
        <v>0.4563888888888889</v>
      </c>
      <c r="C32" s="2">
        <v>86239592</v>
      </c>
      <c r="D32" s="2">
        <v>1051832</v>
      </c>
      <c r="E32" s="2">
        <v>87291424</v>
      </c>
      <c r="N32" t="s">
        <v>0</v>
      </c>
      <c r="O32" s="1">
        <v>0.54568287037037033</v>
      </c>
      <c r="P32" s="2">
        <v>7199096</v>
      </c>
      <c r="Q32" s="2">
        <v>4134840</v>
      </c>
      <c r="R32" s="2">
        <v>11333936</v>
      </c>
      <c r="W32">
        <f t="shared" si="5"/>
        <v>86.239592000000002</v>
      </c>
      <c r="X32">
        <f t="shared" si="1"/>
        <v>1.0518320000000001</v>
      </c>
      <c r="Y32">
        <f t="shared" si="2"/>
        <v>87.291424000000006</v>
      </c>
      <c r="AA32">
        <f t="shared" si="3"/>
        <v>7.1990959999999999</v>
      </c>
      <c r="AB32">
        <f t="shared" si="3"/>
        <v>4.1348399999999996</v>
      </c>
      <c r="AC32">
        <f t="shared" si="3"/>
        <v>11.333936</v>
      </c>
    </row>
    <row r="33" spans="1:29" x14ac:dyDescent="0.35">
      <c r="A33" t="s">
        <v>0</v>
      </c>
      <c r="B33" s="1">
        <v>0.45708333333333334</v>
      </c>
      <c r="C33" s="2">
        <v>24948448</v>
      </c>
      <c r="D33" s="2">
        <v>683408</v>
      </c>
      <c r="E33" s="2">
        <v>25631856</v>
      </c>
      <c r="N33" t="s">
        <v>0</v>
      </c>
      <c r="O33" s="1">
        <v>0.54916666666666669</v>
      </c>
      <c r="P33" s="2">
        <v>22823120</v>
      </c>
      <c r="Q33" s="2">
        <v>3874536</v>
      </c>
      <c r="R33" s="2">
        <v>26697656</v>
      </c>
      <c r="W33">
        <f t="shared" si="5"/>
        <v>24.948447999999999</v>
      </c>
      <c r="X33">
        <f t="shared" si="1"/>
        <v>0.68340800000000002</v>
      </c>
      <c r="Y33">
        <f t="shared" si="2"/>
        <v>25.631855999999999</v>
      </c>
      <c r="AA33">
        <f t="shared" si="3"/>
        <v>22.823119999999999</v>
      </c>
      <c r="AB33">
        <f t="shared" si="3"/>
        <v>3.874536</v>
      </c>
      <c r="AC33">
        <f t="shared" si="3"/>
        <v>26.697655999999998</v>
      </c>
    </row>
    <row r="34" spans="1:29" x14ac:dyDescent="0.35">
      <c r="A34" t="s">
        <v>0</v>
      </c>
      <c r="B34" s="1">
        <v>0.45777777777777778</v>
      </c>
      <c r="C34" s="2">
        <v>436235912</v>
      </c>
      <c r="D34" s="2">
        <v>3145024</v>
      </c>
      <c r="E34" s="2">
        <v>439380936</v>
      </c>
      <c r="N34" t="s">
        <v>0</v>
      </c>
      <c r="O34" s="1">
        <v>0.5526388888888889</v>
      </c>
      <c r="P34" s="2">
        <v>10549000</v>
      </c>
      <c r="Q34" s="2">
        <v>4932136</v>
      </c>
      <c r="R34" s="2">
        <v>15481136</v>
      </c>
      <c r="W34">
        <f t="shared" si="5"/>
        <v>436.23591199999998</v>
      </c>
      <c r="X34">
        <f t="shared" si="1"/>
        <v>3.1450239999999998</v>
      </c>
      <c r="Y34">
        <f t="shared" si="2"/>
        <v>439.38093600000002</v>
      </c>
      <c r="AA34">
        <f t="shared" si="3"/>
        <v>10.548999999999999</v>
      </c>
      <c r="AB34">
        <f t="shared" si="3"/>
        <v>4.9321359999999999</v>
      </c>
      <c r="AC34">
        <f t="shared" si="3"/>
        <v>15.481135999999999</v>
      </c>
    </row>
    <row r="35" spans="1:29" x14ac:dyDescent="0.35">
      <c r="A35" t="s">
        <v>0</v>
      </c>
      <c r="B35" s="1">
        <v>0.45848379629629632</v>
      </c>
      <c r="C35" s="2">
        <v>294516792</v>
      </c>
      <c r="D35" s="2">
        <v>2016224</v>
      </c>
      <c r="E35" s="2">
        <v>296533016</v>
      </c>
      <c r="N35" t="s">
        <v>0</v>
      </c>
      <c r="O35" s="1">
        <v>0.55612268518518515</v>
      </c>
      <c r="P35" s="2">
        <v>16591960</v>
      </c>
      <c r="Q35" s="2">
        <v>11653768</v>
      </c>
      <c r="R35" s="2">
        <v>28245728</v>
      </c>
      <c r="W35">
        <f t="shared" si="5"/>
        <v>294.51679200000001</v>
      </c>
      <c r="X35">
        <f t="shared" si="1"/>
        <v>2.0162239999999998</v>
      </c>
      <c r="Y35">
        <f t="shared" si="2"/>
        <v>296.53301599999998</v>
      </c>
      <c r="AA35">
        <f t="shared" si="3"/>
        <v>16.59196</v>
      </c>
      <c r="AB35">
        <f t="shared" si="3"/>
        <v>11.653767999999999</v>
      </c>
      <c r="AC35">
        <f t="shared" si="3"/>
        <v>28.245728</v>
      </c>
    </row>
    <row r="36" spans="1:29" x14ac:dyDescent="0.35">
      <c r="A36" t="s">
        <v>0</v>
      </c>
      <c r="B36" s="1">
        <v>0.45917824074074076</v>
      </c>
      <c r="C36" s="2">
        <v>381348608</v>
      </c>
      <c r="D36" s="2">
        <v>3176144</v>
      </c>
      <c r="E36" s="2">
        <v>384524752</v>
      </c>
      <c r="N36" t="s">
        <v>0</v>
      </c>
      <c r="O36" s="1">
        <v>0.55960648148148151</v>
      </c>
      <c r="P36" s="2">
        <v>16230400</v>
      </c>
      <c r="Q36" s="2">
        <v>9471624</v>
      </c>
      <c r="R36" s="2">
        <v>25702024</v>
      </c>
      <c r="W36">
        <f t="shared" si="5"/>
        <v>381.34860800000001</v>
      </c>
      <c r="X36">
        <f t="shared" si="1"/>
        <v>3.1761439999999999</v>
      </c>
      <c r="Y36">
        <f t="shared" si="2"/>
        <v>384.52475199999998</v>
      </c>
      <c r="AA36">
        <f t="shared" si="3"/>
        <v>16.230399999999999</v>
      </c>
      <c r="AB36">
        <f t="shared" si="3"/>
        <v>9.4716240000000003</v>
      </c>
      <c r="AC36">
        <f t="shared" si="3"/>
        <v>25.702024000000002</v>
      </c>
    </row>
    <row r="37" spans="1:29" x14ac:dyDescent="0.35">
      <c r="A37" t="s">
        <v>0</v>
      </c>
      <c r="B37" s="1">
        <v>0.4598726851851852</v>
      </c>
      <c r="C37" s="2">
        <v>136052672</v>
      </c>
      <c r="D37" s="2">
        <v>1399080</v>
      </c>
      <c r="E37" s="2">
        <v>137451752</v>
      </c>
      <c r="N37" t="s">
        <v>0</v>
      </c>
      <c r="O37" s="1">
        <v>0.56307870370370372</v>
      </c>
      <c r="P37" s="2">
        <v>276475136</v>
      </c>
      <c r="Q37" s="2">
        <v>29568880</v>
      </c>
      <c r="R37" s="2">
        <v>306044016</v>
      </c>
      <c r="W37">
        <f t="shared" si="5"/>
        <v>136.052672</v>
      </c>
      <c r="X37">
        <f t="shared" si="1"/>
        <v>1.3990800000000001</v>
      </c>
      <c r="Y37">
        <f t="shared" si="2"/>
        <v>137.451752</v>
      </c>
      <c r="AA37">
        <f t="shared" si="3"/>
        <v>276.47513600000002</v>
      </c>
      <c r="AB37">
        <f t="shared" si="3"/>
        <v>29.56888</v>
      </c>
      <c r="AC37">
        <f t="shared" si="3"/>
        <v>306.044016</v>
      </c>
    </row>
    <row r="38" spans="1:29" x14ac:dyDescent="0.35">
      <c r="A38" t="s">
        <v>0</v>
      </c>
      <c r="B38" s="1">
        <v>0.46056712962962965</v>
      </c>
      <c r="C38" s="2">
        <v>82781336</v>
      </c>
      <c r="D38" s="2">
        <v>1205936</v>
      </c>
      <c r="E38" s="2">
        <v>83987272</v>
      </c>
      <c r="N38" t="s">
        <v>0</v>
      </c>
      <c r="O38" s="1">
        <v>0.56655092592592593</v>
      </c>
      <c r="P38" s="2">
        <v>55314664</v>
      </c>
      <c r="Q38" s="2">
        <v>21203024</v>
      </c>
      <c r="R38" s="2">
        <v>76517688</v>
      </c>
      <c r="W38">
        <f t="shared" si="5"/>
        <v>82.781335999999996</v>
      </c>
      <c r="X38">
        <f t="shared" si="1"/>
        <v>1.2059359999999999</v>
      </c>
      <c r="Y38">
        <f t="shared" si="2"/>
        <v>83.987272000000004</v>
      </c>
      <c r="AA38">
        <f t="shared" si="3"/>
        <v>55.314664</v>
      </c>
      <c r="AB38">
        <f t="shared" si="3"/>
        <v>21.203023999999999</v>
      </c>
      <c r="AC38">
        <f t="shared" si="3"/>
        <v>76.517688000000007</v>
      </c>
    </row>
    <row r="39" spans="1:29" x14ac:dyDescent="0.35">
      <c r="A39" t="s">
        <v>0</v>
      </c>
      <c r="B39" s="1">
        <v>0.46126157407407409</v>
      </c>
      <c r="C39" s="2">
        <v>34866424</v>
      </c>
      <c r="D39" s="2">
        <v>996640</v>
      </c>
      <c r="E39" s="2">
        <v>35863064</v>
      </c>
      <c r="N39" t="s">
        <v>0</v>
      </c>
      <c r="O39" s="1">
        <v>0.57003472222222218</v>
      </c>
      <c r="P39" s="2">
        <v>710677776</v>
      </c>
      <c r="Q39" s="2">
        <v>23269792</v>
      </c>
      <c r="R39" s="2">
        <v>733947568</v>
      </c>
      <c r="W39">
        <f t="shared" si="5"/>
        <v>34.866424000000002</v>
      </c>
      <c r="X39">
        <f t="shared" si="1"/>
        <v>0.99663999999999997</v>
      </c>
      <c r="Y39">
        <f t="shared" si="2"/>
        <v>35.863064000000001</v>
      </c>
      <c r="AA39">
        <f t="shared" si="3"/>
        <v>710.67777599999999</v>
      </c>
      <c r="AB39">
        <f t="shared" si="3"/>
        <v>23.269791999999999</v>
      </c>
      <c r="AC39">
        <f t="shared" si="3"/>
        <v>733.94756800000005</v>
      </c>
    </row>
    <row r="40" spans="1:29" x14ac:dyDescent="0.35">
      <c r="A40" t="s">
        <v>0</v>
      </c>
      <c r="B40" s="1">
        <v>0.46195601851851853</v>
      </c>
      <c r="C40" s="2">
        <v>281107248</v>
      </c>
      <c r="D40" s="2">
        <v>2402616</v>
      </c>
      <c r="E40" s="2">
        <v>283509864</v>
      </c>
      <c r="N40" t="s">
        <v>0</v>
      </c>
      <c r="O40" s="1">
        <v>0.57351851851851854</v>
      </c>
      <c r="P40" s="2">
        <v>637596408</v>
      </c>
      <c r="Q40" s="2">
        <v>11110224</v>
      </c>
      <c r="R40" s="2">
        <v>648706632</v>
      </c>
      <c r="W40">
        <f t="shared" si="5"/>
        <v>281.10724800000003</v>
      </c>
      <c r="X40">
        <f t="shared" si="1"/>
        <v>2.4026160000000001</v>
      </c>
      <c r="Y40">
        <f t="shared" si="2"/>
        <v>283.50986399999999</v>
      </c>
      <c r="AA40">
        <f t="shared" si="3"/>
        <v>637.596408</v>
      </c>
      <c r="AB40">
        <f t="shared" si="3"/>
        <v>11.110224000000001</v>
      </c>
      <c r="AC40">
        <f t="shared" si="3"/>
        <v>648.70663200000001</v>
      </c>
    </row>
    <row r="41" spans="1:29" x14ac:dyDescent="0.35">
      <c r="A41" t="s">
        <v>0</v>
      </c>
      <c r="B41" s="1">
        <v>0.46265046296296297</v>
      </c>
      <c r="C41" s="2">
        <v>294787472</v>
      </c>
      <c r="D41" s="2">
        <v>1719216</v>
      </c>
      <c r="E41" s="2">
        <v>296506688</v>
      </c>
      <c r="N41" t="s">
        <v>0</v>
      </c>
      <c r="O41" s="1">
        <v>0.57699074074074075</v>
      </c>
      <c r="P41" s="2">
        <v>1153588464</v>
      </c>
      <c r="Q41" s="2">
        <v>11884720</v>
      </c>
      <c r="R41" s="2">
        <v>1165473184</v>
      </c>
      <c r="W41">
        <f t="shared" si="5"/>
        <v>294.78747199999998</v>
      </c>
      <c r="X41">
        <f t="shared" si="1"/>
        <v>1.7192160000000001</v>
      </c>
      <c r="Y41">
        <f t="shared" si="2"/>
        <v>296.506688</v>
      </c>
      <c r="AA41">
        <f t="shared" si="3"/>
        <v>1153.5884639999999</v>
      </c>
      <c r="AB41">
        <f t="shared" si="3"/>
        <v>11.88472</v>
      </c>
      <c r="AC41">
        <f t="shared" si="3"/>
        <v>1165.4731839999999</v>
      </c>
    </row>
    <row r="42" spans="1:29" x14ac:dyDescent="0.35">
      <c r="A42" t="s">
        <v>0</v>
      </c>
      <c r="B42" s="1">
        <v>0.46335648148148151</v>
      </c>
      <c r="C42" s="2">
        <v>436426984</v>
      </c>
      <c r="D42" s="2">
        <v>2267456</v>
      </c>
      <c r="E42" s="2">
        <v>438694440</v>
      </c>
      <c r="N42" t="s">
        <v>0</v>
      </c>
      <c r="O42" s="1">
        <v>0.580474537037037</v>
      </c>
      <c r="P42" s="2">
        <v>1605660968</v>
      </c>
      <c r="Q42" s="2">
        <v>13036560</v>
      </c>
      <c r="R42" s="2">
        <v>1618697528</v>
      </c>
      <c r="W42">
        <f t="shared" si="5"/>
        <v>436.426984</v>
      </c>
      <c r="X42">
        <f t="shared" si="1"/>
        <v>2.2674560000000001</v>
      </c>
      <c r="Y42">
        <f t="shared" si="2"/>
        <v>438.69443999999999</v>
      </c>
      <c r="AA42">
        <f t="shared" si="3"/>
        <v>1605.6609679999999</v>
      </c>
      <c r="AB42">
        <f t="shared" si="3"/>
        <v>13.03656</v>
      </c>
      <c r="AC42">
        <f t="shared" si="3"/>
        <v>1618.6975279999999</v>
      </c>
    </row>
    <row r="43" spans="1:29" x14ac:dyDescent="0.35">
      <c r="A43" t="s">
        <v>0</v>
      </c>
      <c r="B43" s="1">
        <v>0.46405092592592595</v>
      </c>
      <c r="C43" s="2">
        <v>240450440</v>
      </c>
      <c r="D43" s="2">
        <v>1513888</v>
      </c>
      <c r="E43" s="2">
        <v>241964328</v>
      </c>
      <c r="N43" t="s">
        <v>0</v>
      </c>
      <c r="O43" s="1">
        <v>0.58394675925925921</v>
      </c>
      <c r="P43" s="2">
        <v>1431422496</v>
      </c>
      <c r="Q43" s="2">
        <v>12537448</v>
      </c>
      <c r="R43" s="2">
        <v>1443959944</v>
      </c>
      <c r="W43">
        <f t="shared" si="5"/>
        <v>240.45043999999999</v>
      </c>
      <c r="X43">
        <f t="shared" si="1"/>
        <v>1.5138879999999999</v>
      </c>
      <c r="Y43">
        <f t="shared" si="2"/>
        <v>241.96432799999999</v>
      </c>
      <c r="AA43">
        <f t="shared" si="3"/>
        <v>1431.4224959999999</v>
      </c>
      <c r="AB43">
        <f t="shared" si="3"/>
        <v>12.537447999999999</v>
      </c>
      <c r="AC43">
        <f t="shared" si="3"/>
        <v>1443.959944</v>
      </c>
    </row>
    <row r="44" spans="1:29" x14ac:dyDescent="0.35">
      <c r="A44" t="s">
        <v>0</v>
      </c>
      <c r="B44" s="1">
        <v>0.46474537037037039</v>
      </c>
      <c r="C44" s="2">
        <v>236171488</v>
      </c>
      <c r="D44" s="2">
        <v>3007200</v>
      </c>
      <c r="E44" s="2">
        <v>239178688</v>
      </c>
      <c r="N44" t="s">
        <v>0</v>
      </c>
      <c r="O44" s="1">
        <v>0.58743055555555557</v>
      </c>
      <c r="P44" s="2">
        <v>1344181040</v>
      </c>
      <c r="Q44" s="2">
        <v>32464136</v>
      </c>
      <c r="R44" s="2">
        <v>1376645176</v>
      </c>
      <c r="W44">
        <f t="shared" si="5"/>
        <v>236.17148800000001</v>
      </c>
      <c r="X44">
        <f t="shared" si="1"/>
        <v>3.0072000000000001</v>
      </c>
      <c r="Y44">
        <f t="shared" si="2"/>
        <v>239.17868799999999</v>
      </c>
      <c r="AA44">
        <f t="shared" si="3"/>
        <v>1344.1810399999999</v>
      </c>
      <c r="AB44">
        <f t="shared" si="3"/>
        <v>32.464136000000003</v>
      </c>
      <c r="AC44">
        <f t="shared" si="3"/>
        <v>1376.645176</v>
      </c>
    </row>
    <row r="45" spans="1:29" x14ac:dyDescent="0.35">
      <c r="A45" t="s">
        <v>0</v>
      </c>
      <c r="B45" s="1">
        <v>0.46543981481481483</v>
      </c>
      <c r="C45" s="2">
        <v>354205936</v>
      </c>
      <c r="D45" s="2">
        <v>2804360</v>
      </c>
      <c r="E45" s="2">
        <v>357010296</v>
      </c>
      <c r="N45" t="s">
        <v>0</v>
      </c>
      <c r="O45" s="1">
        <v>0.59091435185185182</v>
      </c>
      <c r="P45" s="2">
        <v>1323245704</v>
      </c>
      <c r="Q45" s="2">
        <v>18762928</v>
      </c>
      <c r="R45" s="2">
        <v>1342008632</v>
      </c>
      <c r="W45">
        <f t="shared" si="5"/>
        <v>354.20593600000001</v>
      </c>
      <c r="X45">
        <f t="shared" si="1"/>
        <v>2.80436</v>
      </c>
      <c r="Y45">
        <f t="shared" si="2"/>
        <v>357.01029599999998</v>
      </c>
      <c r="AA45">
        <f t="shared" si="3"/>
        <v>1323.2457039999999</v>
      </c>
      <c r="AB45">
        <f t="shared" si="3"/>
        <v>18.762927999999999</v>
      </c>
      <c r="AC45">
        <f t="shared" si="3"/>
        <v>1342.008632</v>
      </c>
    </row>
    <row r="46" spans="1:29" x14ac:dyDescent="0.35">
      <c r="A46" t="s">
        <v>0</v>
      </c>
      <c r="B46" s="1">
        <v>0.46613425925925928</v>
      </c>
      <c r="C46" s="2">
        <v>260369120</v>
      </c>
      <c r="D46" s="2">
        <v>1486488</v>
      </c>
      <c r="E46" s="2">
        <v>261855608</v>
      </c>
      <c r="N46" t="s">
        <v>0</v>
      </c>
      <c r="O46" s="1">
        <v>0.59438657407407403</v>
      </c>
      <c r="P46" s="2">
        <v>1305684752</v>
      </c>
      <c r="Q46" s="2">
        <v>15251136</v>
      </c>
      <c r="R46" s="2">
        <v>1320935888</v>
      </c>
      <c r="W46">
        <f t="shared" si="5"/>
        <v>260.36912000000001</v>
      </c>
      <c r="X46">
        <f t="shared" si="1"/>
        <v>1.486488</v>
      </c>
      <c r="Y46">
        <f t="shared" si="2"/>
        <v>261.85560800000002</v>
      </c>
      <c r="AA46">
        <f t="shared" si="3"/>
        <v>1305.6847519999999</v>
      </c>
      <c r="AB46">
        <f t="shared" si="3"/>
        <v>15.251136000000001</v>
      </c>
      <c r="AC46">
        <f t="shared" si="3"/>
        <v>1320.935888</v>
      </c>
    </row>
    <row r="47" spans="1:29" x14ac:dyDescent="0.35">
      <c r="A47" t="s">
        <v>0</v>
      </c>
      <c r="B47" s="1">
        <v>0.46682870370370372</v>
      </c>
      <c r="C47" s="2">
        <v>136708656</v>
      </c>
      <c r="D47" s="2">
        <v>2537544</v>
      </c>
      <c r="E47" s="2">
        <v>139246200</v>
      </c>
      <c r="N47" t="s">
        <v>0</v>
      </c>
      <c r="O47" s="1">
        <v>0.59787037037037039</v>
      </c>
      <c r="P47" s="2">
        <v>1275846792</v>
      </c>
      <c r="Q47" s="2">
        <v>10434184</v>
      </c>
      <c r="R47" s="2">
        <v>1286280976</v>
      </c>
      <c r="W47">
        <f t="shared" si="5"/>
        <v>136.70865599999999</v>
      </c>
      <c r="X47">
        <f t="shared" si="1"/>
        <v>2.537544</v>
      </c>
      <c r="Y47">
        <f t="shared" si="2"/>
        <v>139.24619999999999</v>
      </c>
      <c r="AA47">
        <f t="shared" si="3"/>
        <v>1275.8467920000001</v>
      </c>
      <c r="AB47">
        <f t="shared" si="3"/>
        <v>10.434184</v>
      </c>
      <c r="AC47">
        <f t="shared" si="3"/>
        <v>1286.280976</v>
      </c>
    </row>
    <row r="48" spans="1:29" x14ac:dyDescent="0.35">
      <c r="A48" t="s">
        <v>0</v>
      </c>
      <c r="B48" s="1">
        <v>0.46752314814814816</v>
      </c>
      <c r="C48" s="2">
        <v>52647456</v>
      </c>
      <c r="D48" s="2">
        <v>3127384</v>
      </c>
      <c r="E48" s="2">
        <v>55774840</v>
      </c>
      <c r="N48" t="s">
        <v>0</v>
      </c>
      <c r="O48" s="1">
        <v>0.60135416666666663</v>
      </c>
      <c r="P48" s="2">
        <v>356466784</v>
      </c>
      <c r="Q48" s="2">
        <v>8015568</v>
      </c>
      <c r="R48" s="2">
        <v>364482352</v>
      </c>
      <c r="W48">
        <f t="shared" si="5"/>
        <v>52.647455999999998</v>
      </c>
      <c r="X48">
        <f t="shared" si="1"/>
        <v>3.1273840000000002</v>
      </c>
      <c r="Y48">
        <f t="shared" si="2"/>
        <v>55.774839999999998</v>
      </c>
      <c r="AA48">
        <f t="shared" si="3"/>
        <v>356.46678400000002</v>
      </c>
      <c r="AB48">
        <f t="shared" si="3"/>
        <v>8.015568</v>
      </c>
      <c r="AC48">
        <f t="shared" si="3"/>
        <v>364.48235199999999</v>
      </c>
    </row>
    <row r="49" spans="1:29" x14ac:dyDescent="0.35">
      <c r="A49" t="s">
        <v>0</v>
      </c>
      <c r="B49" s="1">
        <v>0.4682175925925926</v>
      </c>
      <c r="C49" s="2">
        <v>78893808</v>
      </c>
      <c r="D49" s="2">
        <v>3750632</v>
      </c>
      <c r="E49" s="2">
        <v>82644440</v>
      </c>
      <c r="N49" t="s">
        <v>0</v>
      </c>
      <c r="O49" s="1">
        <v>0.60482638888888884</v>
      </c>
      <c r="P49" s="2">
        <v>558498408</v>
      </c>
      <c r="Q49" s="2">
        <v>6780104</v>
      </c>
      <c r="R49" s="2">
        <v>565278512</v>
      </c>
      <c r="W49">
        <f t="shared" si="5"/>
        <v>78.893808000000007</v>
      </c>
      <c r="X49">
        <f t="shared" si="1"/>
        <v>3.750632</v>
      </c>
      <c r="Y49">
        <f t="shared" si="2"/>
        <v>82.644440000000003</v>
      </c>
      <c r="AA49">
        <f t="shared" si="3"/>
        <v>558.49840800000004</v>
      </c>
      <c r="AB49">
        <f t="shared" si="3"/>
        <v>6.7801039999999997</v>
      </c>
      <c r="AC49">
        <f t="shared" si="3"/>
        <v>565.27851199999998</v>
      </c>
    </row>
    <row r="50" spans="1:29" x14ac:dyDescent="0.35">
      <c r="A50" t="s">
        <v>0</v>
      </c>
      <c r="B50" s="1">
        <v>0.46892361111111114</v>
      </c>
      <c r="C50" s="2">
        <v>385097864</v>
      </c>
      <c r="D50" s="2">
        <v>2070432</v>
      </c>
      <c r="E50" s="2">
        <v>387168296</v>
      </c>
      <c r="N50" t="s">
        <v>0</v>
      </c>
      <c r="O50" s="1">
        <v>0.6083101851851852</v>
      </c>
      <c r="P50" s="2">
        <v>1042013232</v>
      </c>
      <c r="Q50" s="2">
        <v>8887768</v>
      </c>
      <c r="R50" s="2">
        <v>1050901000</v>
      </c>
      <c r="W50">
        <f t="shared" si="5"/>
        <v>385.09786400000002</v>
      </c>
      <c r="X50">
        <f t="shared" si="1"/>
        <v>2.0704319999999998</v>
      </c>
      <c r="Y50">
        <f t="shared" si="2"/>
        <v>387.168296</v>
      </c>
      <c r="AA50">
        <f t="shared" si="3"/>
        <v>1042.013232</v>
      </c>
      <c r="AB50">
        <f t="shared" si="3"/>
        <v>8.8877679999999994</v>
      </c>
      <c r="AC50">
        <f t="shared" si="3"/>
        <v>1050.9010000000001</v>
      </c>
    </row>
    <row r="51" spans="1:29" x14ac:dyDescent="0.35">
      <c r="A51" t="s">
        <v>0</v>
      </c>
      <c r="B51" s="1">
        <v>0.46961805555555558</v>
      </c>
      <c r="C51" s="2">
        <v>288608984</v>
      </c>
      <c r="D51" s="2">
        <v>2180832</v>
      </c>
      <c r="E51" s="2">
        <v>290789816</v>
      </c>
      <c r="N51" t="s">
        <v>0</v>
      </c>
      <c r="O51" s="1">
        <v>0.61178240740740741</v>
      </c>
      <c r="P51" s="2">
        <v>1265066464</v>
      </c>
      <c r="Q51" s="2">
        <v>13544104</v>
      </c>
      <c r="R51" s="2">
        <v>1278610568</v>
      </c>
      <c r="W51">
        <f t="shared" si="5"/>
        <v>288.60898400000002</v>
      </c>
      <c r="X51">
        <f t="shared" si="1"/>
        <v>2.1808320000000001</v>
      </c>
      <c r="Y51">
        <f t="shared" si="2"/>
        <v>290.78981599999997</v>
      </c>
      <c r="AA51">
        <f t="shared" si="3"/>
        <v>1265.066464</v>
      </c>
      <c r="AB51">
        <f t="shared" si="3"/>
        <v>13.544104000000001</v>
      </c>
      <c r="AC51">
        <f t="shared" si="3"/>
        <v>1278.6105680000001</v>
      </c>
    </row>
    <row r="52" spans="1:29" x14ac:dyDescent="0.35">
      <c r="A52" t="s">
        <v>0</v>
      </c>
      <c r="B52" s="1">
        <v>0.47031250000000002</v>
      </c>
      <c r="C52" s="2">
        <v>440884744</v>
      </c>
      <c r="D52" s="2">
        <v>2803672</v>
      </c>
      <c r="E52" s="2">
        <v>443688416</v>
      </c>
      <c r="N52" t="s">
        <v>0</v>
      </c>
      <c r="O52" s="1">
        <v>0.61526620370370366</v>
      </c>
      <c r="P52" s="2">
        <v>783411184</v>
      </c>
      <c r="Q52" s="2">
        <v>16415576</v>
      </c>
      <c r="R52" s="2">
        <v>799826760</v>
      </c>
      <c r="W52">
        <f t="shared" si="5"/>
        <v>440.88474400000001</v>
      </c>
      <c r="X52">
        <f t="shared" si="1"/>
        <v>2.8036720000000002</v>
      </c>
      <c r="Y52">
        <f t="shared" si="2"/>
        <v>443.68841600000002</v>
      </c>
      <c r="AA52">
        <f t="shared" si="3"/>
        <v>783.41118400000005</v>
      </c>
      <c r="AB52">
        <f t="shared" si="3"/>
        <v>16.415576000000001</v>
      </c>
      <c r="AC52">
        <f t="shared" si="3"/>
        <v>799.82676000000004</v>
      </c>
    </row>
    <row r="53" spans="1:29" x14ac:dyDescent="0.35">
      <c r="A53" t="s">
        <v>0</v>
      </c>
      <c r="B53" s="1">
        <v>0.47100694444444446</v>
      </c>
      <c r="C53" s="2">
        <v>44308240</v>
      </c>
      <c r="D53" s="2">
        <v>961952</v>
      </c>
      <c r="E53" s="2">
        <v>45270192</v>
      </c>
      <c r="N53" t="s">
        <v>0</v>
      </c>
      <c r="O53" s="1">
        <v>0.61875000000000002</v>
      </c>
      <c r="P53" s="2">
        <v>969777808</v>
      </c>
      <c r="Q53" s="2">
        <v>19917504</v>
      </c>
      <c r="R53" s="2">
        <v>989695312</v>
      </c>
      <c r="W53">
        <f t="shared" si="5"/>
        <v>44.308239999999998</v>
      </c>
      <c r="X53">
        <f t="shared" si="1"/>
        <v>0.96195200000000003</v>
      </c>
      <c r="Y53">
        <f t="shared" si="2"/>
        <v>45.270192000000002</v>
      </c>
      <c r="AA53">
        <f t="shared" si="3"/>
        <v>969.77780800000005</v>
      </c>
      <c r="AB53">
        <f t="shared" si="3"/>
        <v>19.917504000000001</v>
      </c>
      <c r="AC53">
        <f t="shared" si="3"/>
        <v>989.69531199999994</v>
      </c>
    </row>
    <row r="54" spans="1:29" x14ac:dyDescent="0.35">
      <c r="A54" t="s">
        <v>0</v>
      </c>
      <c r="B54" s="1">
        <v>0.47170138888888891</v>
      </c>
      <c r="C54" s="2">
        <v>26032056</v>
      </c>
      <c r="D54" s="2">
        <v>807528</v>
      </c>
      <c r="E54" s="2">
        <v>26839584</v>
      </c>
      <c r="N54" t="s">
        <v>0</v>
      </c>
      <c r="O54" s="1">
        <v>0.62222222222222223</v>
      </c>
      <c r="P54" s="2">
        <v>750038112</v>
      </c>
      <c r="Q54" s="2">
        <v>11536152</v>
      </c>
      <c r="R54" s="2">
        <v>761574264</v>
      </c>
      <c r="W54">
        <f t="shared" si="5"/>
        <v>26.032056000000001</v>
      </c>
      <c r="X54">
        <f t="shared" si="1"/>
        <v>0.80752800000000002</v>
      </c>
      <c r="Y54">
        <f t="shared" si="2"/>
        <v>26.839583999999999</v>
      </c>
      <c r="AA54">
        <f t="shared" si="3"/>
        <v>750.03811199999996</v>
      </c>
      <c r="AB54">
        <f t="shared" si="3"/>
        <v>11.536152</v>
      </c>
      <c r="AC54">
        <f t="shared" si="3"/>
        <v>761.57426399999997</v>
      </c>
    </row>
    <row r="55" spans="1:29" x14ac:dyDescent="0.35">
      <c r="A55" t="s">
        <v>0</v>
      </c>
      <c r="B55" s="1">
        <v>0.47239583333333335</v>
      </c>
      <c r="C55" s="2">
        <v>168355368</v>
      </c>
      <c r="D55" s="2">
        <v>1416048</v>
      </c>
      <c r="E55" s="2">
        <v>169771416</v>
      </c>
      <c r="N55" t="s">
        <v>0</v>
      </c>
      <c r="O55" s="1">
        <v>0.62570601851851848</v>
      </c>
      <c r="P55" s="2">
        <v>260336288</v>
      </c>
      <c r="Q55" s="2">
        <v>19119288</v>
      </c>
      <c r="R55" s="2">
        <v>279455576</v>
      </c>
      <c r="W55">
        <f t="shared" si="5"/>
        <v>168.355368</v>
      </c>
      <c r="X55">
        <f t="shared" si="1"/>
        <v>1.416048</v>
      </c>
      <c r="Y55">
        <f t="shared" si="2"/>
        <v>169.77141599999999</v>
      </c>
      <c r="AA55">
        <f t="shared" si="3"/>
        <v>260.33628800000002</v>
      </c>
      <c r="AB55">
        <f t="shared" si="3"/>
        <v>19.119288000000001</v>
      </c>
      <c r="AC55">
        <f t="shared" si="3"/>
        <v>279.45557600000001</v>
      </c>
    </row>
    <row r="56" spans="1:29" x14ac:dyDescent="0.35">
      <c r="A56" t="s">
        <v>0</v>
      </c>
      <c r="B56" s="1">
        <v>0.47309027777777779</v>
      </c>
      <c r="C56" s="2">
        <v>291718296</v>
      </c>
      <c r="D56" s="2">
        <v>1963584</v>
      </c>
      <c r="E56" s="2">
        <v>293681880</v>
      </c>
      <c r="N56" t="s">
        <v>0</v>
      </c>
      <c r="O56" s="1">
        <v>0.62918981481481484</v>
      </c>
      <c r="P56" s="2">
        <v>1557016080</v>
      </c>
      <c r="Q56" s="2">
        <v>12934576</v>
      </c>
      <c r="R56" s="2">
        <v>1569950656</v>
      </c>
      <c r="W56">
        <f t="shared" si="5"/>
        <v>291.71829600000001</v>
      </c>
      <c r="X56">
        <f t="shared" si="1"/>
        <v>1.963584</v>
      </c>
      <c r="Y56">
        <f t="shared" si="2"/>
        <v>293.68187999999998</v>
      </c>
      <c r="AA56">
        <f t="shared" si="3"/>
        <v>1557.0160800000001</v>
      </c>
      <c r="AB56">
        <f t="shared" si="3"/>
        <v>12.934576</v>
      </c>
      <c r="AC56">
        <f t="shared" si="3"/>
        <v>1569.950656</v>
      </c>
    </row>
    <row r="57" spans="1:29" x14ac:dyDescent="0.35">
      <c r="A57" t="s">
        <v>0</v>
      </c>
      <c r="B57" s="1">
        <v>0.47378472222222223</v>
      </c>
      <c r="C57" s="2">
        <v>431648384</v>
      </c>
      <c r="D57" s="2">
        <v>2698792</v>
      </c>
      <c r="E57" s="2">
        <v>434347176</v>
      </c>
      <c r="N57" t="s">
        <v>0</v>
      </c>
      <c r="O57" s="1">
        <v>0.63266203703703705</v>
      </c>
      <c r="P57" s="2">
        <v>1259841336</v>
      </c>
      <c r="Q57" s="2">
        <v>11228736</v>
      </c>
      <c r="R57" s="2">
        <v>1271070072</v>
      </c>
      <c r="W57">
        <f t="shared" si="5"/>
        <v>431.64838400000002</v>
      </c>
      <c r="X57">
        <f t="shared" si="1"/>
        <v>2.6987920000000001</v>
      </c>
      <c r="Y57">
        <f t="shared" si="2"/>
        <v>434.34717599999999</v>
      </c>
      <c r="AA57">
        <f t="shared" si="3"/>
        <v>1259.841336</v>
      </c>
      <c r="AB57">
        <f t="shared" si="3"/>
        <v>11.228736</v>
      </c>
      <c r="AC57">
        <f t="shared" si="3"/>
        <v>1271.070072</v>
      </c>
    </row>
    <row r="58" spans="1:29" x14ac:dyDescent="0.35">
      <c r="A58" t="s">
        <v>0</v>
      </c>
      <c r="B58" s="1">
        <v>0.47447916666666667</v>
      </c>
      <c r="C58" s="2">
        <v>259363952</v>
      </c>
      <c r="D58" s="2">
        <v>1637504</v>
      </c>
      <c r="E58" s="2">
        <v>261001456</v>
      </c>
      <c r="N58" t="s">
        <v>0</v>
      </c>
      <c r="O58" s="1">
        <v>0.6361458333333333</v>
      </c>
      <c r="P58" s="2">
        <v>973432648</v>
      </c>
      <c r="Q58" s="2">
        <v>13111432</v>
      </c>
      <c r="R58" s="2">
        <v>986544080</v>
      </c>
      <c r="W58">
        <f t="shared" si="5"/>
        <v>259.36395199999998</v>
      </c>
      <c r="X58">
        <f t="shared" si="1"/>
        <v>1.6375040000000001</v>
      </c>
      <c r="Y58">
        <f t="shared" si="2"/>
        <v>261.00145600000002</v>
      </c>
      <c r="AA58">
        <f t="shared" si="3"/>
        <v>973.43264799999997</v>
      </c>
      <c r="AB58">
        <f t="shared" si="3"/>
        <v>13.111432000000001</v>
      </c>
      <c r="AC58">
        <f t="shared" si="3"/>
        <v>986.54408000000001</v>
      </c>
    </row>
    <row r="59" spans="1:29" x14ac:dyDescent="0.35">
      <c r="A59" t="s">
        <v>0</v>
      </c>
      <c r="B59" s="1">
        <v>0.47518518518518521</v>
      </c>
      <c r="C59" s="2">
        <v>323511144</v>
      </c>
      <c r="D59" s="2">
        <v>1797920</v>
      </c>
      <c r="E59" s="2">
        <v>325309064</v>
      </c>
      <c r="N59" t="s">
        <v>0</v>
      </c>
      <c r="O59" s="1">
        <v>0.63961805555555551</v>
      </c>
      <c r="P59" s="2">
        <v>1234906008</v>
      </c>
      <c r="Q59" s="2">
        <v>11473696</v>
      </c>
      <c r="R59" s="2">
        <v>1246379704</v>
      </c>
      <c r="W59">
        <f t="shared" si="5"/>
        <v>323.511144</v>
      </c>
      <c r="X59">
        <f t="shared" si="1"/>
        <v>1.79792</v>
      </c>
      <c r="Y59">
        <f t="shared" si="2"/>
        <v>325.30906399999998</v>
      </c>
      <c r="AA59">
        <f t="shared" si="3"/>
        <v>1234.9060079999999</v>
      </c>
      <c r="AB59">
        <f t="shared" si="3"/>
        <v>11.473696</v>
      </c>
      <c r="AC59">
        <f t="shared" si="3"/>
        <v>1246.3797039999999</v>
      </c>
    </row>
    <row r="60" spans="1:29" x14ac:dyDescent="0.35">
      <c r="A60" t="s">
        <v>0</v>
      </c>
      <c r="B60" s="1">
        <v>0.47587962962962965</v>
      </c>
      <c r="C60" s="2">
        <v>360134128</v>
      </c>
      <c r="D60" s="2">
        <v>2523536</v>
      </c>
      <c r="E60" s="2">
        <v>362657664</v>
      </c>
      <c r="N60" t="s">
        <v>0</v>
      </c>
      <c r="O60" s="1">
        <v>0.64310185185185187</v>
      </c>
      <c r="P60" s="2">
        <v>1562723232</v>
      </c>
      <c r="Q60" s="2">
        <v>12021920</v>
      </c>
      <c r="R60" s="2">
        <v>1574745152</v>
      </c>
      <c r="W60">
        <f t="shared" si="5"/>
        <v>360.13412799999998</v>
      </c>
      <c r="X60">
        <f t="shared" si="1"/>
        <v>2.523536</v>
      </c>
      <c r="Y60">
        <f t="shared" si="2"/>
        <v>362.65766400000001</v>
      </c>
      <c r="AA60">
        <f t="shared" si="3"/>
        <v>1562.7232320000001</v>
      </c>
      <c r="AB60">
        <f t="shared" si="3"/>
        <v>12.02192</v>
      </c>
      <c r="AC60">
        <f t="shared" si="3"/>
        <v>1574.745152</v>
      </c>
    </row>
    <row r="61" spans="1:29" x14ac:dyDescent="0.35">
      <c r="A61" t="s">
        <v>0</v>
      </c>
      <c r="B61" s="1">
        <v>0.47657407407407409</v>
      </c>
      <c r="C61" s="2">
        <v>61372824</v>
      </c>
      <c r="D61" s="2">
        <v>925616</v>
      </c>
      <c r="E61" s="2">
        <v>62298440</v>
      </c>
      <c r="N61" t="s">
        <v>0</v>
      </c>
      <c r="O61" s="1">
        <v>0.64658564814814812</v>
      </c>
      <c r="P61" s="2">
        <v>991984912</v>
      </c>
      <c r="Q61" s="2">
        <v>9653048</v>
      </c>
      <c r="R61" s="2">
        <v>1001637960</v>
      </c>
      <c r="W61">
        <f t="shared" si="5"/>
        <v>61.372824000000001</v>
      </c>
      <c r="X61">
        <f t="shared" si="1"/>
        <v>0.92561599999999999</v>
      </c>
      <c r="Y61">
        <f t="shared" si="2"/>
        <v>62.298439999999999</v>
      </c>
      <c r="AA61">
        <f t="shared" si="3"/>
        <v>991.98491200000001</v>
      </c>
      <c r="AB61">
        <f t="shared" si="3"/>
        <v>9.6530480000000001</v>
      </c>
      <c r="AC61">
        <f t="shared" si="3"/>
        <v>1001.63796</v>
      </c>
    </row>
    <row r="62" spans="1:29" x14ac:dyDescent="0.35">
      <c r="A62" t="s">
        <v>0</v>
      </c>
      <c r="B62" s="1">
        <v>0.47726851851851854</v>
      </c>
      <c r="C62" s="2">
        <v>84773744</v>
      </c>
      <c r="D62" s="2">
        <v>832224</v>
      </c>
      <c r="E62" s="2">
        <v>85605968</v>
      </c>
      <c r="N62" t="s">
        <v>0</v>
      </c>
      <c r="O62" s="1">
        <v>0.65005787037037033</v>
      </c>
      <c r="P62" s="2">
        <v>1108608120</v>
      </c>
      <c r="Q62" s="2">
        <v>10808640</v>
      </c>
      <c r="R62" s="2">
        <v>1119416760</v>
      </c>
      <c r="W62">
        <f t="shared" si="5"/>
        <v>84.773743999999994</v>
      </c>
      <c r="X62">
        <f t="shared" si="1"/>
        <v>0.83222399999999996</v>
      </c>
      <c r="Y62">
        <f t="shared" si="2"/>
        <v>85.605968000000004</v>
      </c>
      <c r="AA62">
        <f t="shared" si="3"/>
        <v>1108.6081200000001</v>
      </c>
      <c r="AB62">
        <f t="shared" si="3"/>
        <v>10.80864</v>
      </c>
      <c r="AC62">
        <f t="shared" si="3"/>
        <v>1119.4167600000001</v>
      </c>
    </row>
    <row r="63" spans="1:29" x14ac:dyDescent="0.35">
      <c r="A63" t="s">
        <v>0</v>
      </c>
      <c r="B63" s="1">
        <v>0.47796296296296298</v>
      </c>
      <c r="C63" s="2">
        <v>160616320</v>
      </c>
      <c r="D63" s="2">
        <v>1279600</v>
      </c>
      <c r="E63" s="2">
        <v>161895920</v>
      </c>
      <c r="N63" t="s">
        <v>0</v>
      </c>
      <c r="O63" s="1">
        <v>0.65354166666666669</v>
      </c>
      <c r="P63" s="2">
        <v>1463882408</v>
      </c>
      <c r="Q63" s="2">
        <v>10943536</v>
      </c>
      <c r="R63" s="2">
        <v>1474825944</v>
      </c>
      <c r="W63">
        <f t="shared" si="5"/>
        <v>160.61632</v>
      </c>
      <c r="X63">
        <f t="shared" si="1"/>
        <v>1.2796000000000001</v>
      </c>
      <c r="Y63">
        <f t="shared" si="2"/>
        <v>161.89591999999999</v>
      </c>
      <c r="AA63">
        <f t="shared" si="3"/>
        <v>1463.8824079999999</v>
      </c>
      <c r="AB63">
        <f t="shared" si="3"/>
        <v>10.943536</v>
      </c>
      <c r="AC63">
        <f t="shared" si="3"/>
        <v>1474.8259439999999</v>
      </c>
    </row>
    <row r="64" spans="1:29" x14ac:dyDescent="0.35">
      <c r="A64" t="s">
        <v>0</v>
      </c>
      <c r="B64" s="1">
        <v>0.47865740740740742</v>
      </c>
      <c r="C64" s="2">
        <v>354254304</v>
      </c>
      <c r="D64" s="2">
        <v>2193656</v>
      </c>
      <c r="E64" s="2">
        <v>356447960</v>
      </c>
      <c r="N64" t="s">
        <v>0</v>
      </c>
      <c r="O64" s="1">
        <v>0.65702546296296294</v>
      </c>
      <c r="P64" s="2">
        <v>1396487848</v>
      </c>
      <c r="Q64" s="2">
        <v>12445440</v>
      </c>
      <c r="R64" s="2">
        <v>1408933288</v>
      </c>
      <c r="W64">
        <f t="shared" si="5"/>
        <v>354.25430399999999</v>
      </c>
      <c r="X64">
        <f t="shared" si="1"/>
        <v>2.1936559999999998</v>
      </c>
      <c r="Y64">
        <f t="shared" si="2"/>
        <v>356.44796000000002</v>
      </c>
      <c r="AA64">
        <f t="shared" si="3"/>
        <v>1396.487848</v>
      </c>
      <c r="AB64">
        <f t="shared" si="3"/>
        <v>12.44544</v>
      </c>
      <c r="AC64">
        <f t="shared" si="3"/>
        <v>1408.9332879999999</v>
      </c>
    </row>
    <row r="65" spans="1:25" x14ac:dyDescent="0.35">
      <c r="A65" t="s">
        <v>0</v>
      </c>
      <c r="B65" s="1">
        <v>0.47935185185185186</v>
      </c>
      <c r="C65" s="2">
        <v>154750256</v>
      </c>
      <c r="D65" s="2">
        <v>880992</v>
      </c>
      <c r="E65" s="2">
        <v>155631248</v>
      </c>
      <c r="W65">
        <f t="shared" si="5"/>
        <v>154.75025600000001</v>
      </c>
      <c r="X65">
        <f t="shared" si="1"/>
        <v>0.880992</v>
      </c>
      <c r="Y65">
        <f t="shared" si="2"/>
        <v>155.631248</v>
      </c>
    </row>
    <row r="66" spans="1:25" x14ac:dyDescent="0.35">
      <c r="A66" t="s">
        <v>0</v>
      </c>
      <c r="B66" s="1">
        <v>0.48005787037037034</v>
      </c>
      <c r="C66" s="2">
        <v>251750800</v>
      </c>
      <c r="D66" s="2">
        <v>1453272</v>
      </c>
      <c r="E66" s="2">
        <v>253204072</v>
      </c>
      <c r="W66">
        <f t="shared" si="5"/>
        <v>251.7508</v>
      </c>
      <c r="X66">
        <f t="shared" ref="X66:X129" si="6">D66/1000000</f>
        <v>1.4532719999999999</v>
      </c>
      <c r="Y66">
        <f t="shared" ref="Y66:Y129" si="7">E66/1000000</f>
        <v>253.204072</v>
      </c>
    </row>
    <row r="67" spans="1:25" x14ac:dyDescent="0.35">
      <c r="A67" t="s">
        <v>0</v>
      </c>
      <c r="B67" s="1">
        <v>0.48075231481481484</v>
      </c>
      <c r="C67" s="2">
        <v>348525040</v>
      </c>
      <c r="D67" s="2">
        <v>2086992</v>
      </c>
      <c r="E67" s="2">
        <v>350612032</v>
      </c>
      <c r="W67">
        <f t="shared" ref="W67:W130" si="8">C67/1000000</f>
        <v>348.52503999999999</v>
      </c>
      <c r="X67">
        <f t="shared" si="6"/>
        <v>2.086992</v>
      </c>
      <c r="Y67">
        <f t="shared" si="7"/>
        <v>350.612032</v>
      </c>
    </row>
    <row r="68" spans="1:25" x14ac:dyDescent="0.35">
      <c r="A68" t="s">
        <v>0</v>
      </c>
      <c r="B68" s="1">
        <v>0.48144675925925928</v>
      </c>
      <c r="C68" s="2">
        <v>198011160</v>
      </c>
      <c r="D68" s="2">
        <v>1522832</v>
      </c>
      <c r="E68" s="2">
        <v>199533992</v>
      </c>
      <c r="W68">
        <f t="shared" si="8"/>
        <v>198.01115999999999</v>
      </c>
      <c r="X68">
        <f t="shared" si="6"/>
        <v>1.522832</v>
      </c>
      <c r="Y68">
        <f t="shared" si="7"/>
        <v>199.53399200000001</v>
      </c>
    </row>
    <row r="69" spans="1:25" x14ac:dyDescent="0.35">
      <c r="A69" t="s">
        <v>0</v>
      </c>
      <c r="B69" s="1">
        <v>0.48214120370370372</v>
      </c>
      <c r="C69" s="2">
        <v>217602344</v>
      </c>
      <c r="D69" s="2">
        <v>1634040</v>
      </c>
      <c r="E69" s="2">
        <v>219236384</v>
      </c>
      <c r="W69">
        <f t="shared" si="8"/>
        <v>217.60234399999999</v>
      </c>
      <c r="X69">
        <f t="shared" si="6"/>
        <v>1.6340399999999999</v>
      </c>
      <c r="Y69">
        <f t="shared" si="7"/>
        <v>219.23638399999999</v>
      </c>
    </row>
    <row r="70" spans="1:25" x14ac:dyDescent="0.35">
      <c r="A70" t="s">
        <v>0</v>
      </c>
      <c r="B70" s="1">
        <v>0.48283564814814817</v>
      </c>
      <c r="C70" s="2">
        <v>40416176</v>
      </c>
      <c r="D70" s="2">
        <v>600112</v>
      </c>
      <c r="E70" s="2">
        <v>41016288</v>
      </c>
      <c r="W70">
        <f t="shared" si="8"/>
        <v>40.416176</v>
      </c>
      <c r="X70">
        <f t="shared" si="6"/>
        <v>0.60011199999999998</v>
      </c>
      <c r="Y70">
        <f t="shared" si="7"/>
        <v>41.016288000000003</v>
      </c>
    </row>
    <row r="71" spans="1:25" x14ac:dyDescent="0.35">
      <c r="A71" t="s">
        <v>0</v>
      </c>
      <c r="B71" s="1">
        <v>0.48353009259259261</v>
      </c>
      <c r="C71" s="2">
        <v>22296600</v>
      </c>
      <c r="D71" s="2">
        <v>893088</v>
      </c>
      <c r="E71" s="2">
        <v>23189688</v>
      </c>
      <c r="W71">
        <f t="shared" si="8"/>
        <v>22.296600000000002</v>
      </c>
      <c r="X71">
        <f t="shared" si="6"/>
        <v>0.89308799999999999</v>
      </c>
      <c r="Y71">
        <f t="shared" si="7"/>
        <v>23.189688</v>
      </c>
    </row>
    <row r="72" spans="1:25" x14ac:dyDescent="0.35">
      <c r="A72" t="s">
        <v>0</v>
      </c>
      <c r="B72" s="1">
        <v>0.48422453703703705</v>
      </c>
      <c r="C72" s="2">
        <v>68805040</v>
      </c>
      <c r="D72" s="2">
        <v>909432</v>
      </c>
      <c r="E72" s="2">
        <v>69714472</v>
      </c>
      <c r="W72">
        <f t="shared" si="8"/>
        <v>68.805040000000005</v>
      </c>
      <c r="X72">
        <f t="shared" si="6"/>
        <v>0.90943200000000002</v>
      </c>
      <c r="Y72">
        <f t="shared" si="7"/>
        <v>69.714472000000001</v>
      </c>
    </row>
    <row r="73" spans="1:25" x14ac:dyDescent="0.35">
      <c r="A73" t="s">
        <v>0</v>
      </c>
      <c r="B73" s="1">
        <v>0.48491898148148149</v>
      </c>
      <c r="C73" s="2">
        <v>192597104</v>
      </c>
      <c r="D73" s="2">
        <v>10375472</v>
      </c>
      <c r="E73" s="2">
        <v>202972576</v>
      </c>
      <c r="W73">
        <f t="shared" si="8"/>
        <v>192.597104</v>
      </c>
      <c r="X73">
        <f t="shared" si="6"/>
        <v>10.375472</v>
      </c>
      <c r="Y73">
        <f t="shared" si="7"/>
        <v>202.972576</v>
      </c>
    </row>
    <row r="74" spans="1:25" x14ac:dyDescent="0.35">
      <c r="A74" t="s">
        <v>0</v>
      </c>
      <c r="B74" s="1">
        <v>0.48561342592592593</v>
      </c>
      <c r="C74" s="2">
        <v>7588040</v>
      </c>
      <c r="D74" s="2">
        <v>2621920</v>
      </c>
      <c r="E74" s="2">
        <v>10209960</v>
      </c>
      <c r="G74" s="5" t="s">
        <v>11</v>
      </c>
      <c r="H74" s="5"/>
      <c r="I74" s="5"/>
      <c r="J74" s="5"/>
      <c r="K74" s="5"/>
      <c r="L74" s="5"/>
      <c r="W74">
        <f t="shared" si="8"/>
        <v>7.5880400000000003</v>
      </c>
      <c r="X74">
        <f t="shared" si="6"/>
        <v>2.6219199999999998</v>
      </c>
      <c r="Y74">
        <f t="shared" si="7"/>
        <v>10.209960000000001</v>
      </c>
    </row>
    <row r="75" spans="1:25" x14ac:dyDescent="0.35">
      <c r="A75" t="s">
        <v>0</v>
      </c>
      <c r="B75" s="1">
        <v>0.48631944444444447</v>
      </c>
      <c r="C75" s="2">
        <v>1563480</v>
      </c>
      <c r="D75" s="2">
        <v>1140976</v>
      </c>
      <c r="E75" s="2">
        <v>2704456</v>
      </c>
      <c r="W75">
        <f t="shared" si="8"/>
        <v>1.56348</v>
      </c>
      <c r="X75">
        <f t="shared" si="6"/>
        <v>1.140976</v>
      </c>
      <c r="Y75">
        <f t="shared" si="7"/>
        <v>2.704456</v>
      </c>
    </row>
    <row r="76" spans="1:25" x14ac:dyDescent="0.35">
      <c r="A76" t="s">
        <v>0</v>
      </c>
      <c r="B76" s="1">
        <v>0.48701388888888891</v>
      </c>
      <c r="C76" s="2">
        <v>2694992</v>
      </c>
      <c r="D76" s="2">
        <v>3365848</v>
      </c>
      <c r="E76" s="2">
        <v>6060840</v>
      </c>
      <c r="W76">
        <f t="shared" si="8"/>
        <v>2.6949920000000001</v>
      </c>
      <c r="X76">
        <f t="shared" si="6"/>
        <v>3.3658480000000002</v>
      </c>
      <c r="Y76">
        <f t="shared" si="7"/>
        <v>6.0608399999999998</v>
      </c>
    </row>
    <row r="77" spans="1:25" x14ac:dyDescent="0.35">
      <c r="A77" t="s">
        <v>0</v>
      </c>
      <c r="B77" s="1">
        <v>0.48770833333333335</v>
      </c>
      <c r="C77" s="2">
        <v>1256600</v>
      </c>
      <c r="D77" s="2">
        <v>1799960</v>
      </c>
      <c r="E77" s="2">
        <v>3056560</v>
      </c>
      <c r="W77">
        <f t="shared" si="8"/>
        <v>1.2565999999999999</v>
      </c>
      <c r="X77">
        <f t="shared" si="6"/>
        <v>1.79996</v>
      </c>
      <c r="Y77">
        <f t="shared" si="7"/>
        <v>3.0565600000000002</v>
      </c>
    </row>
    <row r="78" spans="1:25" x14ac:dyDescent="0.35">
      <c r="A78" t="s">
        <v>0</v>
      </c>
      <c r="B78" s="1">
        <v>0.4884027777777778</v>
      </c>
      <c r="C78" s="2">
        <v>1099424</v>
      </c>
      <c r="D78" s="2">
        <v>3782480</v>
      </c>
      <c r="E78" s="2">
        <v>4881904</v>
      </c>
      <c r="W78">
        <f t="shared" si="8"/>
        <v>1.099424</v>
      </c>
      <c r="X78">
        <f t="shared" si="6"/>
        <v>3.7824800000000001</v>
      </c>
      <c r="Y78">
        <f t="shared" si="7"/>
        <v>4.8819039999999996</v>
      </c>
    </row>
    <row r="79" spans="1:25" x14ac:dyDescent="0.35">
      <c r="A79" t="s">
        <v>0</v>
      </c>
      <c r="B79" s="1">
        <v>0.48909722222222224</v>
      </c>
      <c r="C79" s="2">
        <v>1501016</v>
      </c>
      <c r="D79" s="2">
        <v>1771808</v>
      </c>
      <c r="E79" s="2">
        <v>3272824</v>
      </c>
      <c r="W79">
        <f t="shared" si="8"/>
        <v>1.5010159999999999</v>
      </c>
      <c r="X79">
        <f t="shared" si="6"/>
        <v>1.771808</v>
      </c>
      <c r="Y79">
        <f t="shared" si="7"/>
        <v>3.272824</v>
      </c>
    </row>
    <row r="80" spans="1:25" x14ac:dyDescent="0.35">
      <c r="A80" t="s">
        <v>0</v>
      </c>
      <c r="B80" s="1">
        <v>0.48979166666666668</v>
      </c>
      <c r="C80" s="2">
        <v>2915152</v>
      </c>
      <c r="D80" s="2">
        <v>1620584</v>
      </c>
      <c r="E80" s="2">
        <v>4535736</v>
      </c>
      <c r="W80">
        <f t="shared" si="8"/>
        <v>2.915152</v>
      </c>
      <c r="X80">
        <f t="shared" si="6"/>
        <v>1.620584</v>
      </c>
      <c r="Y80">
        <f t="shared" si="7"/>
        <v>4.535736</v>
      </c>
    </row>
    <row r="81" spans="1:25" x14ac:dyDescent="0.35">
      <c r="A81" t="s">
        <v>0</v>
      </c>
      <c r="B81" s="1">
        <v>0.49048611111111112</v>
      </c>
      <c r="C81" s="2">
        <v>1799528</v>
      </c>
      <c r="D81" s="2">
        <v>752000</v>
      </c>
      <c r="E81" s="2">
        <v>2551528</v>
      </c>
      <c r="W81">
        <f t="shared" si="8"/>
        <v>1.799528</v>
      </c>
      <c r="X81">
        <f t="shared" si="6"/>
        <v>0.752</v>
      </c>
      <c r="Y81">
        <f t="shared" si="7"/>
        <v>2.5515279999999998</v>
      </c>
    </row>
    <row r="82" spans="1:25" x14ac:dyDescent="0.35">
      <c r="A82" t="s">
        <v>0</v>
      </c>
      <c r="B82" s="1">
        <v>0.49118055555555556</v>
      </c>
      <c r="C82" s="2">
        <v>886264</v>
      </c>
      <c r="D82" s="2">
        <v>624680</v>
      </c>
      <c r="E82" s="2">
        <v>1510944</v>
      </c>
      <c r="W82">
        <f t="shared" si="8"/>
        <v>0.88626400000000005</v>
      </c>
      <c r="X82">
        <f t="shared" si="6"/>
        <v>0.62468000000000001</v>
      </c>
      <c r="Y82">
        <f t="shared" si="7"/>
        <v>1.5109440000000001</v>
      </c>
    </row>
    <row r="83" spans="1:25" x14ac:dyDescent="0.35">
      <c r="A83" t="s">
        <v>0</v>
      </c>
      <c r="B83" s="1">
        <v>0.49187500000000001</v>
      </c>
      <c r="C83" s="2">
        <v>14989088</v>
      </c>
      <c r="D83" s="2">
        <v>2512288</v>
      </c>
      <c r="E83" s="2">
        <v>17501376</v>
      </c>
      <c r="W83">
        <f t="shared" si="8"/>
        <v>14.989088000000001</v>
      </c>
      <c r="X83">
        <f t="shared" si="6"/>
        <v>2.5122879999999999</v>
      </c>
      <c r="Y83">
        <f t="shared" si="7"/>
        <v>17.501376</v>
      </c>
    </row>
    <row r="84" spans="1:25" x14ac:dyDescent="0.35">
      <c r="A84" t="s">
        <v>0</v>
      </c>
      <c r="B84" s="1">
        <v>0.49256944444444445</v>
      </c>
      <c r="C84" s="2">
        <v>6686616</v>
      </c>
      <c r="D84" s="2">
        <v>18008656</v>
      </c>
      <c r="E84" s="2">
        <v>24695272</v>
      </c>
      <c r="W84">
        <f t="shared" si="8"/>
        <v>6.6866159999999999</v>
      </c>
      <c r="X84">
        <f t="shared" si="6"/>
        <v>18.008655999999998</v>
      </c>
      <c r="Y84">
        <f t="shared" si="7"/>
        <v>24.695271999999999</v>
      </c>
    </row>
    <row r="85" spans="1:25" x14ac:dyDescent="0.35">
      <c r="A85" t="s">
        <v>0</v>
      </c>
      <c r="B85" s="1">
        <v>0.49327546296296299</v>
      </c>
      <c r="C85" s="2">
        <v>91639976</v>
      </c>
      <c r="D85" s="2">
        <v>3659368</v>
      </c>
      <c r="E85" s="2">
        <v>95299344</v>
      </c>
      <c r="W85">
        <f t="shared" si="8"/>
        <v>91.639976000000004</v>
      </c>
      <c r="X85">
        <f t="shared" si="6"/>
        <v>3.6593680000000002</v>
      </c>
      <c r="Y85">
        <f t="shared" si="7"/>
        <v>95.299344000000005</v>
      </c>
    </row>
    <row r="86" spans="1:25" x14ac:dyDescent="0.35">
      <c r="A86" t="s">
        <v>0</v>
      </c>
      <c r="B86" s="1">
        <v>0.49396990740740743</v>
      </c>
      <c r="C86" s="2">
        <v>52879528</v>
      </c>
      <c r="D86" s="2">
        <v>29940104</v>
      </c>
      <c r="E86" s="2">
        <v>82819632</v>
      </c>
      <c r="W86">
        <f t="shared" si="8"/>
        <v>52.879528000000001</v>
      </c>
      <c r="X86">
        <f t="shared" si="6"/>
        <v>29.940104000000002</v>
      </c>
      <c r="Y86">
        <f t="shared" si="7"/>
        <v>82.819631999999999</v>
      </c>
    </row>
    <row r="87" spans="1:25" x14ac:dyDescent="0.35">
      <c r="A87" t="s">
        <v>0</v>
      </c>
      <c r="B87" s="1">
        <v>0.49466435185185187</v>
      </c>
      <c r="C87" s="2">
        <v>53501728</v>
      </c>
      <c r="D87" s="2">
        <v>4036672</v>
      </c>
      <c r="E87" s="2">
        <v>57538400</v>
      </c>
      <c r="W87">
        <f t="shared" si="8"/>
        <v>53.501728</v>
      </c>
      <c r="X87">
        <f t="shared" si="6"/>
        <v>4.0366720000000003</v>
      </c>
      <c r="Y87">
        <f t="shared" si="7"/>
        <v>57.538400000000003</v>
      </c>
    </row>
    <row r="88" spans="1:25" x14ac:dyDescent="0.35">
      <c r="A88" t="s">
        <v>0</v>
      </c>
      <c r="B88" s="1">
        <v>0.49535879629629631</v>
      </c>
      <c r="C88" s="2">
        <v>724440</v>
      </c>
      <c r="D88" s="2">
        <v>728080</v>
      </c>
      <c r="E88" s="2">
        <v>1452520</v>
      </c>
      <c r="W88">
        <f t="shared" si="8"/>
        <v>0.72443999999999997</v>
      </c>
      <c r="X88">
        <f t="shared" si="6"/>
        <v>0.72807999999999995</v>
      </c>
      <c r="Y88">
        <f t="shared" si="7"/>
        <v>1.45252</v>
      </c>
    </row>
    <row r="89" spans="1:25" x14ac:dyDescent="0.35">
      <c r="A89" t="s">
        <v>0</v>
      </c>
      <c r="B89" s="1">
        <v>0.49605324074074075</v>
      </c>
      <c r="C89" s="2">
        <v>2310520</v>
      </c>
      <c r="D89" s="2">
        <v>1498392</v>
      </c>
      <c r="E89" s="2">
        <v>3808912</v>
      </c>
      <c r="W89">
        <f t="shared" si="8"/>
        <v>2.3105199999999999</v>
      </c>
      <c r="X89">
        <f t="shared" si="6"/>
        <v>1.4983919999999999</v>
      </c>
      <c r="Y89">
        <f t="shared" si="7"/>
        <v>3.8089119999999999</v>
      </c>
    </row>
    <row r="90" spans="1:25" x14ac:dyDescent="0.35">
      <c r="A90" t="s">
        <v>0</v>
      </c>
      <c r="B90" s="1">
        <v>0.49674768518518519</v>
      </c>
      <c r="C90" s="2">
        <v>1895120</v>
      </c>
      <c r="D90" s="2">
        <v>3551616</v>
      </c>
      <c r="E90" s="2">
        <v>5446736</v>
      </c>
      <c r="W90">
        <f t="shared" si="8"/>
        <v>1.8951199999999999</v>
      </c>
      <c r="X90">
        <f t="shared" si="6"/>
        <v>3.5516160000000001</v>
      </c>
      <c r="Y90">
        <f t="shared" si="7"/>
        <v>5.4467359999999996</v>
      </c>
    </row>
    <row r="91" spans="1:25" x14ac:dyDescent="0.35">
      <c r="A91" t="s">
        <v>0</v>
      </c>
      <c r="B91" s="1">
        <v>0.49744212962962964</v>
      </c>
      <c r="C91" s="2">
        <v>2217992</v>
      </c>
      <c r="D91" s="2">
        <v>2589080</v>
      </c>
      <c r="E91" s="2">
        <v>4807072</v>
      </c>
      <c r="W91">
        <f t="shared" si="8"/>
        <v>2.2179920000000002</v>
      </c>
      <c r="X91">
        <f t="shared" si="6"/>
        <v>2.58908</v>
      </c>
      <c r="Y91">
        <f t="shared" si="7"/>
        <v>4.8070719999999998</v>
      </c>
    </row>
    <row r="92" spans="1:25" x14ac:dyDescent="0.35">
      <c r="A92" t="s">
        <v>0</v>
      </c>
      <c r="B92" s="1">
        <v>0.49813657407407408</v>
      </c>
      <c r="C92" s="2">
        <v>1462952</v>
      </c>
      <c r="D92" s="2">
        <v>2038416</v>
      </c>
      <c r="E92" s="2">
        <v>3501368</v>
      </c>
      <c r="W92">
        <f t="shared" si="8"/>
        <v>1.462952</v>
      </c>
      <c r="X92">
        <f t="shared" si="6"/>
        <v>2.0384159999999998</v>
      </c>
      <c r="Y92">
        <f t="shared" si="7"/>
        <v>3.5013679999999998</v>
      </c>
    </row>
    <row r="93" spans="1:25" x14ac:dyDescent="0.35">
      <c r="A93" t="s">
        <v>0</v>
      </c>
      <c r="B93" s="1">
        <v>0.49883101851851852</v>
      </c>
      <c r="C93" s="2">
        <v>1647344</v>
      </c>
      <c r="D93" s="2">
        <v>1638960</v>
      </c>
      <c r="E93" s="2">
        <v>3286304</v>
      </c>
      <c r="W93">
        <f t="shared" si="8"/>
        <v>1.6473439999999999</v>
      </c>
      <c r="X93">
        <f t="shared" si="6"/>
        <v>1.63896</v>
      </c>
      <c r="Y93">
        <f t="shared" si="7"/>
        <v>3.2863039999999999</v>
      </c>
    </row>
    <row r="94" spans="1:25" x14ac:dyDescent="0.35">
      <c r="A94" t="s">
        <v>0</v>
      </c>
      <c r="B94" s="1">
        <v>0.49952546296296296</v>
      </c>
      <c r="C94" s="2">
        <v>2340616</v>
      </c>
      <c r="D94" s="2">
        <v>1424072</v>
      </c>
      <c r="E94" s="2">
        <v>3764688</v>
      </c>
      <c r="W94">
        <f t="shared" si="8"/>
        <v>2.3406159999999998</v>
      </c>
      <c r="X94">
        <f t="shared" si="6"/>
        <v>1.424072</v>
      </c>
      <c r="Y94">
        <f t="shared" si="7"/>
        <v>3.764688</v>
      </c>
    </row>
    <row r="95" spans="1:25" x14ac:dyDescent="0.35">
      <c r="A95" t="s">
        <v>0</v>
      </c>
      <c r="B95" s="1">
        <v>0.5002199074074074</v>
      </c>
      <c r="C95" s="2">
        <v>2762160</v>
      </c>
      <c r="D95" s="2">
        <v>5105592</v>
      </c>
      <c r="E95" s="2">
        <v>7867752</v>
      </c>
      <c r="W95">
        <f t="shared" si="8"/>
        <v>2.7621600000000002</v>
      </c>
      <c r="X95">
        <f t="shared" si="6"/>
        <v>5.1055919999999997</v>
      </c>
      <c r="Y95">
        <f t="shared" si="7"/>
        <v>7.8677520000000003</v>
      </c>
    </row>
    <row r="96" spans="1:25" x14ac:dyDescent="0.35">
      <c r="A96" t="s">
        <v>0</v>
      </c>
      <c r="B96" s="1">
        <v>0.50091435185185185</v>
      </c>
      <c r="C96" s="2">
        <v>2464576</v>
      </c>
      <c r="D96" s="2">
        <v>4503088</v>
      </c>
      <c r="E96" s="2">
        <v>6967664</v>
      </c>
      <c r="W96">
        <f t="shared" si="8"/>
        <v>2.4645760000000001</v>
      </c>
      <c r="X96">
        <f t="shared" si="6"/>
        <v>4.503088</v>
      </c>
      <c r="Y96">
        <f t="shared" si="7"/>
        <v>6.9676640000000001</v>
      </c>
    </row>
    <row r="97" spans="1:25" x14ac:dyDescent="0.35">
      <c r="A97" t="s">
        <v>0</v>
      </c>
      <c r="B97" s="1">
        <v>0.50162037037037033</v>
      </c>
      <c r="C97" s="2">
        <v>1401608</v>
      </c>
      <c r="D97" s="2">
        <v>2450064</v>
      </c>
      <c r="E97" s="2">
        <v>3851672</v>
      </c>
      <c r="W97">
        <f t="shared" si="8"/>
        <v>1.401608</v>
      </c>
      <c r="X97">
        <f t="shared" si="6"/>
        <v>2.4500639999999998</v>
      </c>
      <c r="Y97">
        <f t="shared" si="7"/>
        <v>3.8516720000000002</v>
      </c>
    </row>
    <row r="98" spans="1:25" x14ac:dyDescent="0.35">
      <c r="A98" t="s">
        <v>0</v>
      </c>
      <c r="B98" s="1">
        <v>0.50231481481481477</v>
      </c>
      <c r="C98" s="2">
        <v>15314656</v>
      </c>
      <c r="D98" s="2">
        <v>6779600</v>
      </c>
      <c r="E98" s="2">
        <v>22094256</v>
      </c>
      <c r="W98">
        <f t="shared" si="8"/>
        <v>15.314655999999999</v>
      </c>
      <c r="X98">
        <f t="shared" si="6"/>
        <v>6.7796000000000003</v>
      </c>
      <c r="Y98">
        <f t="shared" si="7"/>
        <v>22.094256000000001</v>
      </c>
    </row>
    <row r="99" spans="1:25" x14ac:dyDescent="0.35">
      <c r="A99" t="s">
        <v>0</v>
      </c>
      <c r="B99" s="1">
        <v>0.50300925925925921</v>
      </c>
      <c r="C99" s="2">
        <v>4390400</v>
      </c>
      <c r="D99" s="2">
        <v>3111016</v>
      </c>
      <c r="E99" s="2">
        <v>7501416</v>
      </c>
      <c r="W99">
        <f t="shared" si="8"/>
        <v>4.3903999999999996</v>
      </c>
      <c r="X99">
        <f t="shared" si="6"/>
        <v>3.1110159999999998</v>
      </c>
      <c r="Y99">
        <f t="shared" si="7"/>
        <v>7.5014159999999999</v>
      </c>
    </row>
    <row r="100" spans="1:25" x14ac:dyDescent="0.35">
      <c r="A100" t="s">
        <v>0</v>
      </c>
      <c r="B100" s="1">
        <v>0.50370370370370365</v>
      </c>
      <c r="C100" s="2">
        <v>1657136</v>
      </c>
      <c r="D100" s="2">
        <v>3280424</v>
      </c>
      <c r="E100" s="2">
        <v>4937560</v>
      </c>
      <c r="W100">
        <f t="shared" si="8"/>
        <v>1.6571359999999999</v>
      </c>
      <c r="X100">
        <f t="shared" si="6"/>
        <v>3.280424</v>
      </c>
      <c r="Y100">
        <f t="shared" si="7"/>
        <v>4.9375600000000004</v>
      </c>
    </row>
    <row r="101" spans="1:25" x14ac:dyDescent="0.35">
      <c r="A101" t="s">
        <v>0</v>
      </c>
      <c r="B101" s="1">
        <v>0.5043981481481481</v>
      </c>
      <c r="C101" s="2">
        <v>803856</v>
      </c>
      <c r="D101" s="2">
        <v>889824</v>
      </c>
      <c r="E101" s="2">
        <v>1693680</v>
      </c>
      <c r="W101">
        <f t="shared" si="8"/>
        <v>0.80385600000000001</v>
      </c>
      <c r="X101">
        <f t="shared" si="6"/>
        <v>0.88982399999999995</v>
      </c>
      <c r="Y101">
        <f t="shared" si="7"/>
        <v>1.6936800000000001</v>
      </c>
    </row>
    <row r="102" spans="1:25" x14ac:dyDescent="0.35">
      <c r="A102" t="s">
        <v>0</v>
      </c>
      <c r="B102" s="1">
        <v>0.50509259259259254</v>
      </c>
      <c r="C102" s="2">
        <v>833264</v>
      </c>
      <c r="D102" s="2">
        <v>908328</v>
      </c>
      <c r="E102" s="2">
        <v>1741592</v>
      </c>
      <c r="W102">
        <f t="shared" si="8"/>
        <v>0.833264</v>
      </c>
      <c r="X102">
        <f t="shared" si="6"/>
        <v>0.90832800000000002</v>
      </c>
      <c r="Y102">
        <f t="shared" si="7"/>
        <v>1.741592</v>
      </c>
    </row>
    <row r="103" spans="1:25" x14ac:dyDescent="0.35">
      <c r="A103" t="s">
        <v>0</v>
      </c>
      <c r="B103" s="1">
        <v>0.50578703703703709</v>
      </c>
      <c r="C103" s="2">
        <v>37409448</v>
      </c>
      <c r="D103" s="2">
        <v>7171112</v>
      </c>
      <c r="E103" s="2">
        <v>44580560</v>
      </c>
      <c r="W103">
        <f t="shared" si="8"/>
        <v>37.409447999999998</v>
      </c>
      <c r="X103">
        <f t="shared" si="6"/>
        <v>7.1711119999999999</v>
      </c>
      <c r="Y103">
        <f t="shared" si="7"/>
        <v>44.580559999999998</v>
      </c>
    </row>
    <row r="104" spans="1:25" x14ac:dyDescent="0.35">
      <c r="A104" t="s">
        <v>0</v>
      </c>
      <c r="B104" s="1">
        <v>0.50648148148148153</v>
      </c>
      <c r="C104" s="2">
        <v>143833432</v>
      </c>
      <c r="D104" s="2">
        <v>6120608</v>
      </c>
      <c r="E104" s="2">
        <v>149954040</v>
      </c>
      <c r="W104">
        <f t="shared" si="8"/>
        <v>143.83343199999999</v>
      </c>
      <c r="X104">
        <f t="shared" si="6"/>
        <v>6.1206079999999998</v>
      </c>
      <c r="Y104">
        <f t="shared" si="7"/>
        <v>149.95403999999999</v>
      </c>
    </row>
    <row r="105" spans="1:25" x14ac:dyDescent="0.35">
      <c r="A105" t="s">
        <v>0</v>
      </c>
      <c r="B105" s="1">
        <v>0.50717592592592597</v>
      </c>
      <c r="C105" s="2">
        <v>11685368</v>
      </c>
      <c r="D105" s="2">
        <v>2087280</v>
      </c>
      <c r="E105" s="2">
        <v>13772648</v>
      </c>
      <c r="W105">
        <f t="shared" si="8"/>
        <v>11.685368</v>
      </c>
      <c r="X105">
        <f t="shared" si="6"/>
        <v>2.0872799999999998</v>
      </c>
      <c r="Y105">
        <f t="shared" si="7"/>
        <v>13.772648</v>
      </c>
    </row>
    <row r="106" spans="1:25" x14ac:dyDescent="0.35">
      <c r="A106" t="s">
        <v>0</v>
      </c>
      <c r="B106" s="1">
        <v>0.50787037037037042</v>
      </c>
      <c r="C106" s="2">
        <v>26075680</v>
      </c>
      <c r="D106" s="2">
        <v>6240456</v>
      </c>
      <c r="E106" s="2">
        <v>32316136</v>
      </c>
      <c r="W106">
        <f t="shared" si="8"/>
        <v>26.075679999999998</v>
      </c>
      <c r="X106">
        <f t="shared" si="6"/>
        <v>6.240456</v>
      </c>
      <c r="Y106">
        <f t="shared" si="7"/>
        <v>32.316136</v>
      </c>
    </row>
    <row r="107" spans="1:25" x14ac:dyDescent="0.35">
      <c r="A107" t="s">
        <v>0</v>
      </c>
      <c r="B107" s="1">
        <v>0.50856481481481486</v>
      </c>
      <c r="C107" s="2">
        <v>2734360</v>
      </c>
      <c r="D107" s="2">
        <v>1522704</v>
      </c>
      <c r="E107" s="2">
        <v>4257064</v>
      </c>
      <c r="W107">
        <f t="shared" si="8"/>
        <v>2.7343600000000001</v>
      </c>
      <c r="X107">
        <f t="shared" si="6"/>
        <v>1.5227040000000001</v>
      </c>
      <c r="Y107">
        <f t="shared" si="7"/>
        <v>4.2570639999999997</v>
      </c>
    </row>
    <row r="108" spans="1:25" x14ac:dyDescent="0.35">
      <c r="A108" t="s">
        <v>0</v>
      </c>
      <c r="B108" s="1">
        <v>0.50927083333333334</v>
      </c>
      <c r="C108" s="2">
        <v>1312160</v>
      </c>
      <c r="D108" s="2">
        <v>2487096</v>
      </c>
      <c r="E108" s="2">
        <v>3799256</v>
      </c>
      <c r="W108">
        <f t="shared" si="8"/>
        <v>1.31216</v>
      </c>
      <c r="X108">
        <f t="shared" si="6"/>
        <v>2.4870960000000002</v>
      </c>
      <c r="Y108">
        <f t="shared" si="7"/>
        <v>3.7992560000000002</v>
      </c>
    </row>
    <row r="109" spans="1:25" x14ac:dyDescent="0.35">
      <c r="A109" t="s">
        <v>0</v>
      </c>
      <c r="B109" s="1">
        <v>0.50996527777777778</v>
      </c>
      <c r="C109" s="2">
        <v>1685136</v>
      </c>
      <c r="D109" s="2">
        <v>1050400</v>
      </c>
      <c r="E109" s="2">
        <v>2735536</v>
      </c>
      <c r="W109">
        <f t="shared" si="8"/>
        <v>1.685136</v>
      </c>
      <c r="X109">
        <f t="shared" si="6"/>
        <v>1.0504</v>
      </c>
      <c r="Y109">
        <f t="shared" si="7"/>
        <v>2.7355360000000002</v>
      </c>
    </row>
    <row r="110" spans="1:25" x14ac:dyDescent="0.35">
      <c r="A110" t="s">
        <v>0</v>
      </c>
      <c r="B110" s="1">
        <v>0.51065972222222222</v>
      </c>
      <c r="C110" s="2">
        <v>712496</v>
      </c>
      <c r="D110" s="2">
        <v>564552</v>
      </c>
      <c r="E110" s="2">
        <v>1277048</v>
      </c>
      <c r="W110">
        <f t="shared" si="8"/>
        <v>0.71249600000000002</v>
      </c>
      <c r="X110">
        <f t="shared" si="6"/>
        <v>0.56455200000000005</v>
      </c>
      <c r="Y110">
        <f t="shared" si="7"/>
        <v>1.277048</v>
      </c>
    </row>
    <row r="111" spans="1:25" x14ac:dyDescent="0.35">
      <c r="A111" t="s">
        <v>0</v>
      </c>
      <c r="B111" s="1">
        <v>0.51135416666666667</v>
      </c>
      <c r="C111" s="2">
        <v>2356264</v>
      </c>
      <c r="D111" s="2">
        <v>1540344</v>
      </c>
      <c r="E111" s="2">
        <v>3896608</v>
      </c>
      <c r="W111">
        <f t="shared" si="8"/>
        <v>2.3562639999999999</v>
      </c>
      <c r="X111">
        <f t="shared" si="6"/>
        <v>1.5403439999999999</v>
      </c>
      <c r="Y111">
        <f t="shared" si="7"/>
        <v>3.8966080000000001</v>
      </c>
    </row>
    <row r="112" spans="1:25" x14ac:dyDescent="0.35">
      <c r="A112" t="s">
        <v>0</v>
      </c>
      <c r="B112" s="1">
        <v>0.51204861111111111</v>
      </c>
      <c r="C112" s="2">
        <v>1213272</v>
      </c>
      <c r="D112" s="2">
        <v>641888</v>
      </c>
      <c r="E112" s="2">
        <v>1855160</v>
      </c>
      <c r="W112">
        <f t="shared" si="8"/>
        <v>1.2132719999999999</v>
      </c>
      <c r="X112">
        <f t="shared" si="6"/>
        <v>0.64188800000000001</v>
      </c>
      <c r="Y112">
        <f t="shared" si="7"/>
        <v>1.8551599999999999</v>
      </c>
    </row>
    <row r="113" spans="1:25" x14ac:dyDescent="0.35">
      <c r="A113" t="s">
        <v>0</v>
      </c>
      <c r="B113" s="1">
        <v>0.51274305555555555</v>
      </c>
      <c r="C113" s="2">
        <v>1024768</v>
      </c>
      <c r="D113" s="2">
        <v>915088</v>
      </c>
      <c r="E113" s="2">
        <v>1939856</v>
      </c>
      <c r="W113">
        <f t="shared" si="8"/>
        <v>1.0247679999999999</v>
      </c>
      <c r="X113">
        <f t="shared" si="6"/>
        <v>0.91508800000000001</v>
      </c>
      <c r="Y113">
        <f t="shared" si="7"/>
        <v>1.939856</v>
      </c>
    </row>
    <row r="114" spans="1:25" x14ac:dyDescent="0.35">
      <c r="A114" t="s">
        <v>0</v>
      </c>
      <c r="B114" s="1">
        <v>0.51343749999999999</v>
      </c>
      <c r="C114" s="2">
        <v>763800</v>
      </c>
      <c r="D114" s="2">
        <v>426424</v>
      </c>
      <c r="E114" s="2">
        <v>1190224</v>
      </c>
      <c r="W114">
        <f t="shared" si="8"/>
        <v>0.76380000000000003</v>
      </c>
      <c r="X114">
        <f t="shared" si="6"/>
        <v>0.42642400000000003</v>
      </c>
      <c r="Y114">
        <f t="shared" si="7"/>
        <v>1.1902239999999999</v>
      </c>
    </row>
    <row r="115" spans="1:25" x14ac:dyDescent="0.35">
      <c r="A115" t="s">
        <v>0</v>
      </c>
      <c r="B115" s="1">
        <v>0.51413194444444443</v>
      </c>
      <c r="C115" s="2">
        <v>2263936</v>
      </c>
      <c r="D115" s="2">
        <v>1057256</v>
      </c>
      <c r="E115" s="2">
        <v>3321192</v>
      </c>
      <c r="W115">
        <f t="shared" si="8"/>
        <v>2.2639360000000002</v>
      </c>
      <c r="X115">
        <f t="shared" si="6"/>
        <v>1.057256</v>
      </c>
      <c r="Y115">
        <f t="shared" si="7"/>
        <v>3.3211919999999999</v>
      </c>
    </row>
    <row r="116" spans="1:25" x14ac:dyDescent="0.35">
      <c r="A116" t="s">
        <v>0</v>
      </c>
      <c r="B116" s="1">
        <v>0.51482638888888888</v>
      </c>
      <c r="C116" s="2">
        <v>964152</v>
      </c>
      <c r="D116" s="2">
        <v>639784</v>
      </c>
      <c r="E116" s="2">
        <v>1603936</v>
      </c>
      <c r="W116">
        <f t="shared" si="8"/>
        <v>0.96415200000000001</v>
      </c>
      <c r="X116">
        <f t="shared" si="6"/>
        <v>0.63978400000000002</v>
      </c>
      <c r="Y116">
        <f t="shared" si="7"/>
        <v>1.603936</v>
      </c>
    </row>
    <row r="117" spans="1:25" x14ac:dyDescent="0.35">
      <c r="A117" t="s">
        <v>0</v>
      </c>
      <c r="B117" s="1">
        <v>0.51553240740740736</v>
      </c>
      <c r="C117" s="2">
        <v>457552</v>
      </c>
      <c r="D117" s="2">
        <v>376216</v>
      </c>
      <c r="E117" s="2">
        <v>833768</v>
      </c>
      <c r="W117">
        <f t="shared" si="8"/>
        <v>0.45755200000000001</v>
      </c>
      <c r="X117">
        <f t="shared" si="6"/>
        <v>0.37621599999999999</v>
      </c>
      <c r="Y117">
        <f t="shared" si="7"/>
        <v>0.83376799999999995</v>
      </c>
    </row>
    <row r="118" spans="1:25" x14ac:dyDescent="0.35">
      <c r="A118" t="s">
        <v>0</v>
      </c>
      <c r="B118" s="1">
        <v>0.5162268518518518</v>
      </c>
      <c r="C118" s="2">
        <v>809528</v>
      </c>
      <c r="D118" s="2">
        <v>602120</v>
      </c>
      <c r="E118" s="2">
        <v>1411648</v>
      </c>
      <c r="W118">
        <f t="shared" si="8"/>
        <v>0.80952800000000003</v>
      </c>
      <c r="X118">
        <f t="shared" si="6"/>
        <v>0.60211999999999999</v>
      </c>
      <c r="Y118">
        <f t="shared" si="7"/>
        <v>1.411648</v>
      </c>
    </row>
    <row r="119" spans="1:25" x14ac:dyDescent="0.35">
      <c r="A119" t="s">
        <v>0</v>
      </c>
      <c r="B119" s="1">
        <v>0.51692129629629635</v>
      </c>
      <c r="C119" s="2">
        <v>1858896</v>
      </c>
      <c r="D119" s="2">
        <v>1276688</v>
      </c>
      <c r="E119" s="2">
        <v>3135584</v>
      </c>
      <c r="W119">
        <f t="shared" si="8"/>
        <v>1.8588960000000001</v>
      </c>
      <c r="X119">
        <f t="shared" si="6"/>
        <v>1.276688</v>
      </c>
      <c r="Y119">
        <f t="shared" si="7"/>
        <v>3.1355840000000001</v>
      </c>
    </row>
    <row r="120" spans="1:25" x14ac:dyDescent="0.35">
      <c r="A120" t="s">
        <v>0</v>
      </c>
      <c r="B120" s="1">
        <v>0.51761574074074079</v>
      </c>
      <c r="C120" s="2">
        <v>1440152</v>
      </c>
      <c r="D120" s="2">
        <v>672304</v>
      </c>
      <c r="E120" s="2">
        <v>2112456</v>
      </c>
      <c r="W120">
        <f t="shared" si="8"/>
        <v>1.4401520000000001</v>
      </c>
      <c r="X120">
        <f t="shared" si="6"/>
        <v>0.67230400000000001</v>
      </c>
      <c r="Y120">
        <f t="shared" si="7"/>
        <v>2.1124559999999999</v>
      </c>
    </row>
    <row r="121" spans="1:25" x14ac:dyDescent="0.35">
      <c r="A121" t="s">
        <v>0</v>
      </c>
      <c r="B121" s="1">
        <v>0.51831018518518523</v>
      </c>
      <c r="C121" s="2">
        <v>928040</v>
      </c>
      <c r="D121" s="2">
        <v>818416</v>
      </c>
      <c r="E121" s="2">
        <v>1746456</v>
      </c>
      <c r="W121">
        <f t="shared" si="8"/>
        <v>0.92803999999999998</v>
      </c>
      <c r="X121">
        <f t="shared" si="6"/>
        <v>0.81841600000000003</v>
      </c>
      <c r="Y121">
        <f t="shared" si="7"/>
        <v>1.746456</v>
      </c>
    </row>
    <row r="122" spans="1:25" x14ac:dyDescent="0.35">
      <c r="A122" t="s">
        <v>0</v>
      </c>
      <c r="B122" s="1">
        <v>0.51900462962962968</v>
      </c>
      <c r="C122" s="2">
        <v>593024</v>
      </c>
      <c r="D122" s="2">
        <v>417840</v>
      </c>
      <c r="E122" s="2">
        <v>1010864</v>
      </c>
      <c r="W122">
        <f t="shared" si="8"/>
        <v>0.593024</v>
      </c>
      <c r="X122">
        <f t="shared" si="6"/>
        <v>0.41783999999999999</v>
      </c>
      <c r="Y122">
        <f t="shared" si="7"/>
        <v>1.010864</v>
      </c>
    </row>
    <row r="123" spans="1:25" x14ac:dyDescent="0.35">
      <c r="A123" t="s">
        <v>0</v>
      </c>
      <c r="B123" s="1">
        <v>0.51969907407407412</v>
      </c>
      <c r="C123" s="2">
        <v>1263936</v>
      </c>
      <c r="D123" s="2">
        <v>827232</v>
      </c>
      <c r="E123" s="2">
        <v>2091168</v>
      </c>
      <c r="W123">
        <f t="shared" si="8"/>
        <v>1.2639359999999999</v>
      </c>
      <c r="X123">
        <f t="shared" si="6"/>
        <v>0.82723199999999997</v>
      </c>
      <c r="Y123">
        <f t="shared" si="7"/>
        <v>2.0911680000000001</v>
      </c>
    </row>
    <row r="124" spans="1:25" x14ac:dyDescent="0.35">
      <c r="A124" t="s">
        <v>0</v>
      </c>
      <c r="B124" s="1">
        <v>0.5204050925925926</v>
      </c>
      <c r="C124" s="2">
        <v>567816</v>
      </c>
      <c r="D124" s="2">
        <v>442912</v>
      </c>
      <c r="E124" s="2">
        <v>1010728</v>
      </c>
      <c r="W124">
        <f t="shared" si="8"/>
        <v>0.56781599999999999</v>
      </c>
      <c r="X124">
        <f t="shared" si="6"/>
        <v>0.44291199999999997</v>
      </c>
      <c r="Y124">
        <f t="shared" si="7"/>
        <v>1.0107280000000001</v>
      </c>
    </row>
    <row r="125" spans="1:25" x14ac:dyDescent="0.35">
      <c r="A125" t="s">
        <v>0</v>
      </c>
      <c r="B125" s="1">
        <v>0.52109953703703704</v>
      </c>
      <c r="C125" s="2">
        <v>1664936</v>
      </c>
      <c r="D125" s="2">
        <v>628944</v>
      </c>
      <c r="E125" s="2">
        <v>2293880</v>
      </c>
      <c r="W125">
        <f t="shared" si="8"/>
        <v>1.664936</v>
      </c>
      <c r="X125">
        <f t="shared" si="6"/>
        <v>0.62894399999999995</v>
      </c>
      <c r="Y125">
        <f t="shared" si="7"/>
        <v>2.2938800000000001</v>
      </c>
    </row>
    <row r="126" spans="1:25" x14ac:dyDescent="0.35">
      <c r="A126" t="s">
        <v>0</v>
      </c>
      <c r="B126" s="1">
        <v>0.52179398148148148</v>
      </c>
      <c r="C126" s="2">
        <v>715640</v>
      </c>
      <c r="D126" s="2">
        <v>429136</v>
      </c>
      <c r="E126" s="2">
        <v>1144776</v>
      </c>
      <c r="W126">
        <f t="shared" si="8"/>
        <v>0.71564000000000005</v>
      </c>
      <c r="X126">
        <f t="shared" si="6"/>
        <v>0.42913600000000002</v>
      </c>
      <c r="Y126">
        <f t="shared" si="7"/>
        <v>1.144776</v>
      </c>
    </row>
    <row r="127" spans="1:25" x14ac:dyDescent="0.35">
      <c r="A127" t="s">
        <v>0</v>
      </c>
      <c r="B127" s="1">
        <v>0.52248842592592593</v>
      </c>
      <c r="C127" s="2">
        <v>1158144</v>
      </c>
      <c r="D127" s="2">
        <v>754928</v>
      </c>
      <c r="E127" s="2">
        <v>1913072</v>
      </c>
      <c r="W127">
        <f t="shared" si="8"/>
        <v>1.1581440000000001</v>
      </c>
      <c r="X127">
        <f t="shared" si="6"/>
        <v>0.75492800000000004</v>
      </c>
      <c r="Y127">
        <f t="shared" si="7"/>
        <v>1.9130720000000001</v>
      </c>
    </row>
    <row r="128" spans="1:25" x14ac:dyDescent="0.35">
      <c r="A128" t="s">
        <v>0</v>
      </c>
      <c r="B128" s="1">
        <v>0.52318287037037037</v>
      </c>
      <c r="C128" s="2">
        <v>492048</v>
      </c>
      <c r="D128" s="2">
        <v>416368</v>
      </c>
      <c r="E128" s="2">
        <v>908416</v>
      </c>
      <c r="W128">
        <f t="shared" si="8"/>
        <v>0.49204799999999999</v>
      </c>
      <c r="X128">
        <f t="shared" si="6"/>
        <v>0.41636800000000002</v>
      </c>
      <c r="Y128">
        <f t="shared" si="7"/>
        <v>0.908416</v>
      </c>
    </row>
    <row r="129" spans="1:25" x14ac:dyDescent="0.35">
      <c r="A129" t="s">
        <v>0</v>
      </c>
      <c r="B129" s="1">
        <v>0.52387731481481481</v>
      </c>
      <c r="C129" s="2">
        <v>841856</v>
      </c>
      <c r="D129" s="2">
        <v>626632</v>
      </c>
      <c r="E129" s="2">
        <v>1468488</v>
      </c>
      <c r="W129">
        <f t="shared" si="8"/>
        <v>0.84185600000000005</v>
      </c>
      <c r="X129">
        <f t="shared" si="6"/>
        <v>0.62663199999999997</v>
      </c>
      <c r="Y129">
        <f t="shared" si="7"/>
        <v>1.468488</v>
      </c>
    </row>
    <row r="130" spans="1:25" x14ac:dyDescent="0.35">
      <c r="A130" t="s">
        <v>0</v>
      </c>
      <c r="B130" s="1">
        <v>0.52457175925925925</v>
      </c>
      <c r="C130" s="2">
        <v>1784208</v>
      </c>
      <c r="D130" s="2">
        <v>795128</v>
      </c>
      <c r="E130" s="2">
        <v>2579336</v>
      </c>
      <c r="W130">
        <f t="shared" si="8"/>
        <v>1.784208</v>
      </c>
      <c r="X130">
        <f t="shared" ref="X130:X193" si="9">D130/1000000</f>
        <v>0.79512799999999995</v>
      </c>
      <c r="Y130">
        <f t="shared" ref="Y130:Y193" si="10">E130/1000000</f>
        <v>2.5793360000000001</v>
      </c>
    </row>
    <row r="131" spans="1:25" x14ac:dyDescent="0.35">
      <c r="A131" t="s">
        <v>0</v>
      </c>
      <c r="B131" s="1">
        <v>0.52526620370370369</v>
      </c>
      <c r="C131" s="2">
        <v>997976</v>
      </c>
      <c r="D131" s="2">
        <v>713632</v>
      </c>
      <c r="E131" s="2">
        <v>1711608</v>
      </c>
      <c r="W131">
        <f t="shared" ref="W131:W194" si="11">C131/1000000</f>
        <v>0.99797599999999997</v>
      </c>
      <c r="X131">
        <f t="shared" si="9"/>
        <v>0.71363200000000004</v>
      </c>
      <c r="Y131">
        <f t="shared" si="10"/>
        <v>1.711608</v>
      </c>
    </row>
    <row r="132" spans="1:25" x14ac:dyDescent="0.35">
      <c r="A132" t="s">
        <v>0</v>
      </c>
      <c r="B132" s="1">
        <v>0.52597222222222217</v>
      </c>
      <c r="C132" s="2">
        <v>610600</v>
      </c>
      <c r="D132" s="2">
        <v>436728</v>
      </c>
      <c r="E132" s="2">
        <v>1047328</v>
      </c>
      <c r="W132">
        <f t="shared" si="11"/>
        <v>0.61060000000000003</v>
      </c>
      <c r="X132">
        <f t="shared" si="9"/>
        <v>0.43672800000000001</v>
      </c>
      <c r="Y132">
        <f t="shared" si="10"/>
        <v>1.047328</v>
      </c>
    </row>
    <row r="133" spans="1:25" x14ac:dyDescent="0.35">
      <c r="A133" t="s">
        <v>0</v>
      </c>
      <c r="B133" s="1">
        <v>0.52666666666666662</v>
      </c>
      <c r="C133" s="2">
        <v>1273000</v>
      </c>
      <c r="D133" s="2">
        <v>873840</v>
      </c>
      <c r="E133" s="2">
        <v>2146840</v>
      </c>
      <c r="W133">
        <f t="shared" si="11"/>
        <v>1.2729999999999999</v>
      </c>
      <c r="X133">
        <f t="shared" si="9"/>
        <v>0.87383999999999995</v>
      </c>
      <c r="Y133">
        <f t="shared" si="10"/>
        <v>2.1468400000000001</v>
      </c>
    </row>
    <row r="134" spans="1:25" x14ac:dyDescent="0.35">
      <c r="A134" t="s">
        <v>0</v>
      </c>
      <c r="B134" s="1">
        <v>0.52736111111111106</v>
      </c>
      <c r="C134" s="2">
        <v>1022272</v>
      </c>
      <c r="D134" s="2">
        <v>714656</v>
      </c>
      <c r="E134" s="2">
        <v>1736928</v>
      </c>
      <c r="W134">
        <f t="shared" si="11"/>
        <v>1.0222720000000001</v>
      </c>
      <c r="X134">
        <f t="shared" si="9"/>
        <v>0.71465599999999996</v>
      </c>
      <c r="Y134">
        <f t="shared" si="10"/>
        <v>1.736928</v>
      </c>
    </row>
    <row r="135" spans="1:25" x14ac:dyDescent="0.35">
      <c r="A135" t="s">
        <v>0</v>
      </c>
      <c r="B135" s="1">
        <v>0.5280555555555555</v>
      </c>
      <c r="C135" s="2">
        <v>1810816</v>
      </c>
      <c r="D135" s="2">
        <v>779048</v>
      </c>
      <c r="E135" s="2">
        <v>2589864</v>
      </c>
      <c r="W135">
        <f t="shared" si="11"/>
        <v>1.810816</v>
      </c>
      <c r="X135">
        <f t="shared" si="9"/>
        <v>0.77904799999999996</v>
      </c>
      <c r="Y135">
        <f t="shared" si="10"/>
        <v>2.5898639999999999</v>
      </c>
    </row>
    <row r="136" spans="1:25" x14ac:dyDescent="0.35">
      <c r="A136" t="s">
        <v>0</v>
      </c>
      <c r="B136" s="1">
        <v>0.52875000000000005</v>
      </c>
      <c r="C136" s="2">
        <v>1149816</v>
      </c>
      <c r="D136" s="2">
        <v>685520</v>
      </c>
      <c r="E136" s="2">
        <v>1835336</v>
      </c>
      <c r="W136">
        <f t="shared" si="11"/>
        <v>1.1498159999999999</v>
      </c>
      <c r="X136">
        <f t="shared" si="9"/>
        <v>0.68552000000000002</v>
      </c>
      <c r="Y136">
        <f t="shared" si="10"/>
        <v>1.8353360000000001</v>
      </c>
    </row>
    <row r="137" spans="1:25" x14ac:dyDescent="0.35">
      <c r="A137" t="s">
        <v>0</v>
      </c>
      <c r="B137" s="1">
        <v>0.5294444444444445</v>
      </c>
      <c r="C137" s="2">
        <v>844688</v>
      </c>
      <c r="D137" s="2">
        <v>514256</v>
      </c>
      <c r="E137" s="2">
        <v>1358944</v>
      </c>
      <c r="W137">
        <f t="shared" si="11"/>
        <v>0.84468799999999999</v>
      </c>
      <c r="X137">
        <f t="shared" si="9"/>
        <v>0.51425600000000005</v>
      </c>
      <c r="Y137">
        <f t="shared" si="10"/>
        <v>1.3589439999999999</v>
      </c>
    </row>
    <row r="138" spans="1:25" x14ac:dyDescent="0.35">
      <c r="A138" t="s">
        <v>0</v>
      </c>
      <c r="B138" s="1">
        <v>0.53013888888888894</v>
      </c>
      <c r="C138" s="2">
        <v>628624</v>
      </c>
      <c r="D138" s="2">
        <v>1149824</v>
      </c>
      <c r="E138" s="2">
        <v>1778448</v>
      </c>
      <c r="W138">
        <f t="shared" si="11"/>
        <v>0.62862399999999996</v>
      </c>
      <c r="X138">
        <f t="shared" si="9"/>
        <v>1.149824</v>
      </c>
      <c r="Y138">
        <f t="shared" si="10"/>
        <v>1.778448</v>
      </c>
    </row>
    <row r="139" spans="1:25" x14ac:dyDescent="0.35">
      <c r="A139" t="s">
        <v>0</v>
      </c>
      <c r="B139" s="1">
        <v>0.53083333333333338</v>
      </c>
      <c r="C139" s="2">
        <v>1385032</v>
      </c>
      <c r="D139" s="2">
        <v>1164784</v>
      </c>
      <c r="E139" s="2">
        <v>2549816</v>
      </c>
      <c r="W139">
        <f t="shared" si="11"/>
        <v>1.385032</v>
      </c>
      <c r="X139">
        <f t="shared" si="9"/>
        <v>1.164784</v>
      </c>
      <c r="Y139">
        <f t="shared" si="10"/>
        <v>2.5498159999999999</v>
      </c>
    </row>
    <row r="140" spans="1:25" x14ac:dyDescent="0.35">
      <c r="A140" t="s">
        <v>0</v>
      </c>
      <c r="B140" s="1">
        <v>0.53153935185185186</v>
      </c>
      <c r="C140" s="2">
        <v>1293816</v>
      </c>
      <c r="D140" s="2">
        <v>617464</v>
      </c>
      <c r="E140" s="2">
        <v>1911280</v>
      </c>
      <c r="W140">
        <f t="shared" si="11"/>
        <v>1.2938160000000001</v>
      </c>
      <c r="X140">
        <f t="shared" si="9"/>
        <v>0.61746400000000001</v>
      </c>
      <c r="Y140">
        <f t="shared" si="10"/>
        <v>1.9112800000000001</v>
      </c>
    </row>
    <row r="141" spans="1:25" x14ac:dyDescent="0.35">
      <c r="A141" t="s">
        <v>0</v>
      </c>
      <c r="B141" s="1">
        <v>0.5322337962962963</v>
      </c>
      <c r="C141" s="2">
        <v>540088</v>
      </c>
      <c r="D141" s="2">
        <v>451008</v>
      </c>
      <c r="E141" s="2">
        <v>991096</v>
      </c>
      <c r="W141">
        <f t="shared" si="11"/>
        <v>0.54008800000000001</v>
      </c>
      <c r="X141">
        <f t="shared" si="9"/>
        <v>0.45100800000000002</v>
      </c>
      <c r="Y141">
        <f t="shared" si="10"/>
        <v>0.99109599999999998</v>
      </c>
    </row>
    <row r="142" spans="1:25" x14ac:dyDescent="0.35">
      <c r="A142" t="s">
        <v>0</v>
      </c>
      <c r="B142" s="1">
        <v>0.53292824074074074</v>
      </c>
      <c r="C142" s="2">
        <v>515616</v>
      </c>
      <c r="D142" s="2">
        <v>372936</v>
      </c>
      <c r="E142" s="2">
        <v>888552</v>
      </c>
      <c r="W142">
        <f t="shared" si="11"/>
        <v>0.51561599999999996</v>
      </c>
      <c r="X142">
        <f t="shared" si="9"/>
        <v>0.37293599999999999</v>
      </c>
      <c r="Y142">
        <f t="shared" si="10"/>
        <v>0.88855200000000001</v>
      </c>
    </row>
    <row r="143" spans="1:25" x14ac:dyDescent="0.35">
      <c r="A143" t="s">
        <v>0</v>
      </c>
      <c r="B143" s="1">
        <v>0.53362268518518519</v>
      </c>
      <c r="C143" s="2">
        <v>1131088</v>
      </c>
      <c r="D143" s="2">
        <v>906944</v>
      </c>
      <c r="E143" s="2">
        <v>2038032</v>
      </c>
      <c r="W143">
        <f t="shared" si="11"/>
        <v>1.1310880000000001</v>
      </c>
      <c r="X143">
        <f t="shared" si="9"/>
        <v>0.90694399999999997</v>
      </c>
      <c r="Y143">
        <f t="shared" si="10"/>
        <v>2.0380319999999998</v>
      </c>
    </row>
    <row r="144" spans="1:25" x14ac:dyDescent="0.35">
      <c r="A144" t="s">
        <v>0</v>
      </c>
      <c r="B144" s="1">
        <v>0.53431712962962963</v>
      </c>
      <c r="C144" s="2">
        <v>925360</v>
      </c>
      <c r="D144" s="2">
        <v>462056</v>
      </c>
      <c r="E144" s="2">
        <v>1387416</v>
      </c>
      <c r="J144" t="s">
        <v>2</v>
      </c>
      <c r="K144" t="s">
        <v>8</v>
      </c>
      <c r="W144">
        <f t="shared" si="11"/>
        <v>0.92535999999999996</v>
      </c>
      <c r="X144">
        <f t="shared" si="9"/>
        <v>0.46205600000000002</v>
      </c>
      <c r="Y144">
        <f t="shared" si="10"/>
        <v>1.387416</v>
      </c>
    </row>
    <row r="145" spans="1:25" x14ac:dyDescent="0.35">
      <c r="A145" t="s">
        <v>0</v>
      </c>
      <c r="B145" s="1">
        <v>0.53501157407407407</v>
      </c>
      <c r="C145" s="2">
        <v>1558456</v>
      </c>
      <c r="D145" s="2">
        <v>441208</v>
      </c>
      <c r="E145" s="2">
        <v>1999664</v>
      </c>
      <c r="G145" s="6" t="s">
        <v>1</v>
      </c>
      <c r="H145" s="6"/>
      <c r="I145" s="6"/>
      <c r="J145" s="2">
        <v>2.1892263674897117</v>
      </c>
      <c r="K145" s="2">
        <v>2.2154300770833335</v>
      </c>
      <c r="L145" t="s">
        <v>9</v>
      </c>
      <c r="W145">
        <f t="shared" si="11"/>
        <v>1.5584560000000001</v>
      </c>
      <c r="X145">
        <f t="shared" si="9"/>
        <v>0.44120799999999999</v>
      </c>
      <c r="Y145">
        <f t="shared" si="10"/>
        <v>1.9996640000000001</v>
      </c>
    </row>
    <row r="146" spans="1:25" x14ac:dyDescent="0.35">
      <c r="A146" t="s">
        <v>0</v>
      </c>
      <c r="B146" s="1">
        <v>0.53570601851851851</v>
      </c>
      <c r="C146" s="2">
        <v>612448</v>
      </c>
      <c r="D146" s="2">
        <v>342888</v>
      </c>
      <c r="E146" s="2">
        <v>955336</v>
      </c>
      <c r="G146" s="6" t="s">
        <v>3</v>
      </c>
      <c r="H146" s="6"/>
      <c r="I146" s="6"/>
      <c r="J146" s="2">
        <v>4.5089746090534982E-2</v>
      </c>
      <c r="K146" s="2">
        <v>4.4939412083333338E-2</v>
      </c>
      <c r="L146" t="s">
        <v>9</v>
      </c>
      <c r="W146">
        <f t="shared" si="11"/>
        <v>0.61244799999999999</v>
      </c>
      <c r="X146">
        <f t="shared" si="9"/>
        <v>0.34288800000000003</v>
      </c>
      <c r="Y146">
        <f t="shared" si="10"/>
        <v>0.95533599999999996</v>
      </c>
    </row>
    <row r="147" spans="1:25" x14ac:dyDescent="0.35">
      <c r="A147" t="s">
        <v>0</v>
      </c>
      <c r="B147" s="1">
        <v>0.53640046296296295</v>
      </c>
      <c r="C147" s="2">
        <v>825368</v>
      </c>
      <c r="D147" s="2">
        <v>445872</v>
      </c>
      <c r="E147" s="2">
        <v>1271240</v>
      </c>
      <c r="G147" s="6" t="s">
        <v>4</v>
      </c>
      <c r="H147" s="6"/>
      <c r="I147" s="6"/>
      <c r="J147" s="2">
        <v>2.2343161135802467</v>
      </c>
      <c r="K147" s="2">
        <v>2.2603694891666666</v>
      </c>
      <c r="L147" t="s">
        <v>9</v>
      </c>
      <c r="W147">
        <f t="shared" si="11"/>
        <v>0.82536799999999999</v>
      </c>
      <c r="X147">
        <f t="shared" si="9"/>
        <v>0.44587199999999999</v>
      </c>
      <c r="Y147">
        <f t="shared" si="10"/>
        <v>1.2712399999999999</v>
      </c>
    </row>
    <row r="148" spans="1:25" x14ac:dyDescent="0.35">
      <c r="A148" t="s">
        <v>0</v>
      </c>
      <c r="B148" s="1">
        <v>0.53710648148148143</v>
      </c>
      <c r="C148" s="2">
        <v>486968</v>
      </c>
      <c r="D148" s="2">
        <v>256688</v>
      </c>
      <c r="E148" s="2">
        <v>743656</v>
      </c>
      <c r="G148" s="6" t="s">
        <v>5</v>
      </c>
      <c r="H148" s="6"/>
      <c r="I148" s="6"/>
      <c r="J148" s="2">
        <v>6.9139916999999977</v>
      </c>
      <c r="K148" s="2">
        <v>5.1864823600000003</v>
      </c>
      <c r="L148" t="s">
        <v>9</v>
      </c>
      <c r="W148">
        <f t="shared" si="11"/>
        <v>0.48696800000000001</v>
      </c>
      <c r="X148">
        <f t="shared" si="9"/>
        <v>0.25668800000000003</v>
      </c>
      <c r="Y148">
        <f t="shared" si="10"/>
        <v>0.74365599999999998</v>
      </c>
    </row>
    <row r="149" spans="1:25" x14ac:dyDescent="0.35">
      <c r="A149" t="s">
        <v>0</v>
      </c>
      <c r="B149" s="1">
        <v>0.53780092592592588</v>
      </c>
      <c r="C149" s="2">
        <v>709640</v>
      </c>
      <c r="D149" s="2">
        <v>333416</v>
      </c>
      <c r="E149" s="2">
        <v>1043056</v>
      </c>
      <c r="G149" s="6" t="s">
        <v>6</v>
      </c>
      <c r="H149" s="6"/>
      <c r="I149" s="6"/>
      <c r="J149" s="2">
        <v>0.11853975333333311</v>
      </c>
      <c r="K149" s="2">
        <v>0.11535451199999996</v>
      </c>
      <c r="L149" t="s">
        <v>9</v>
      </c>
      <c r="W149">
        <f t="shared" si="11"/>
        <v>0.70964000000000005</v>
      </c>
      <c r="X149">
        <f t="shared" si="9"/>
        <v>0.33341599999999999</v>
      </c>
      <c r="Y149">
        <f t="shared" si="10"/>
        <v>1.043056</v>
      </c>
    </row>
    <row r="150" spans="1:25" x14ac:dyDescent="0.35">
      <c r="A150" t="s">
        <v>0</v>
      </c>
      <c r="B150" s="1">
        <v>0.53849537037037032</v>
      </c>
      <c r="C150" s="2">
        <v>1105264</v>
      </c>
      <c r="D150" s="2">
        <v>328584</v>
      </c>
      <c r="E150" s="2">
        <v>1433848</v>
      </c>
      <c r="G150" s="6" t="s">
        <v>7</v>
      </c>
      <c r="H150" s="6"/>
      <c r="I150" s="6"/>
      <c r="J150" s="2">
        <v>7.0882880533333292</v>
      </c>
      <c r="K150" s="2">
        <v>5.2287215053333336</v>
      </c>
      <c r="L150" t="s">
        <v>9</v>
      </c>
      <c r="W150">
        <f t="shared" si="11"/>
        <v>1.105264</v>
      </c>
      <c r="X150">
        <f t="shared" si="9"/>
        <v>0.32858399999999999</v>
      </c>
      <c r="Y150">
        <f t="shared" si="10"/>
        <v>1.433848</v>
      </c>
    </row>
    <row r="151" spans="1:25" x14ac:dyDescent="0.35">
      <c r="A151" t="s">
        <v>0</v>
      </c>
      <c r="B151" s="1">
        <v>0.53918981481481476</v>
      </c>
      <c r="C151" s="2">
        <v>3440592</v>
      </c>
      <c r="D151" s="2">
        <v>2510680</v>
      </c>
      <c r="E151" s="2">
        <v>5951272</v>
      </c>
      <c r="W151">
        <f t="shared" si="11"/>
        <v>3.4405920000000001</v>
      </c>
      <c r="X151">
        <f t="shared" si="9"/>
        <v>2.5106799999999998</v>
      </c>
      <c r="Y151">
        <f t="shared" si="10"/>
        <v>5.9512720000000003</v>
      </c>
    </row>
    <row r="152" spans="1:25" x14ac:dyDescent="0.35">
      <c r="A152" t="s">
        <v>0</v>
      </c>
      <c r="B152" s="1">
        <v>0.53988425925925931</v>
      </c>
      <c r="C152" s="2">
        <v>1091888</v>
      </c>
      <c r="D152" s="2">
        <v>630064</v>
      </c>
      <c r="E152" s="2">
        <v>1721952</v>
      </c>
      <c r="W152">
        <f t="shared" si="11"/>
        <v>1.091888</v>
      </c>
      <c r="X152">
        <f t="shared" si="9"/>
        <v>0.63006399999999996</v>
      </c>
      <c r="Y152">
        <f t="shared" si="10"/>
        <v>1.7219519999999999</v>
      </c>
    </row>
    <row r="153" spans="1:25" x14ac:dyDescent="0.35">
      <c r="A153" t="s">
        <v>0</v>
      </c>
      <c r="B153" s="1">
        <v>0.54057870370370376</v>
      </c>
      <c r="C153" s="2">
        <v>999200</v>
      </c>
      <c r="D153" s="2">
        <v>927256</v>
      </c>
      <c r="E153" s="2">
        <v>1926456</v>
      </c>
      <c r="W153">
        <f t="shared" si="11"/>
        <v>0.99919999999999998</v>
      </c>
      <c r="X153">
        <f t="shared" si="9"/>
        <v>0.92725599999999997</v>
      </c>
      <c r="Y153">
        <f t="shared" si="10"/>
        <v>1.9264559999999999</v>
      </c>
    </row>
    <row r="154" spans="1:25" x14ac:dyDescent="0.35">
      <c r="A154" t="s">
        <v>0</v>
      </c>
      <c r="B154" s="1">
        <v>0.5412731481481482</v>
      </c>
      <c r="C154" s="2">
        <v>1537928</v>
      </c>
      <c r="D154" s="2">
        <v>1810080</v>
      </c>
      <c r="E154" s="2">
        <v>3348008</v>
      </c>
      <c r="W154">
        <f t="shared" si="11"/>
        <v>1.537928</v>
      </c>
      <c r="X154">
        <f t="shared" si="9"/>
        <v>1.8100799999999999</v>
      </c>
      <c r="Y154">
        <f t="shared" si="10"/>
        <v>3.3480080000000001</v>
      </c>
    </row>
    <row r="155" spans="1:25" x14ac:dyDescent="0.35">
      <c r="A155" t="s">
        <v>0</v>
      </c>
      <c r="B155" s="1">
        <v>0.54196759259259264</v>
      </c>
      <c r="C155" s="2">
        <v>2716600</v>
      </c>
      <c r="D155" s="2">
        <v>1947288</v>
      </c>
      <c r="E155" s="2">
        <v>4663888</v>
      </c>
      <c r="W155">
        <f t="shared" si="11"/>
        <v>2.7166000000000001</v>
      </c>
      <c r="X155">
        <f t="shared" si="9"/>
        <v>1.9472879999999999</v>
      </c>
      <c r="Y155">
        <f t="shared" si="10"/>
        <v>4.663888</v>
      </c>
    </row>
    <row r="156" spans="1:25" x14ac:dyDescent="0.35">
      <c r="A156" t="s">
        <v>0</v>
      </c>
      <c r="B156" s="1">
        <v>0.54267361111111112</v>
      </c>
      <c r="C156" s="2">
        <v>1458920</v>
      </c>
      <c r="D156" s="2">
        <v>1088312</v>
      </c>
      <c r="E156" s="2">
        <v>2547232</v>
      </c>
      <c r="W156">
        <f t="shared" si="11"/>
        <v>1.45892</v>
      </c>
      <c r="X156">
        <f t="shared" si="9"/>
        <v>1.0883119999999999</v>
      </c>
      <c r="Y156">
        <f t="shared" si="10"/>
        <v>2.5472320000000002</v>
      </c>
    </row>
    <row r="157" spans="1:25" x14ac:dyDescent="0.35">
      <c r="A157" t="s">
        <v>0</v>
      </c>
      <c r="B157" s="1">
        <v>0.54336805555555556</v>
      </c>
      <c r="C157" s="2">
        <v>1814552</v>
      </c>
      <c r="D157" s="2">
        <v>1010920</v>
      </c>
      <c r="E157" s="2">
        <v>2825472</v>
      </c>
      <c r="W157">
        <f t="shared" si="11"/>
        <v>1.8145519999999999</v>
      </c>
      <c r="X157">
        <f t="shared" si="9"/>
        <v>1.01092</v>
      </c>
      <c r="Y157">
        <f t="shared" si="10"/>
        <v>2.825472</v>
      </c>
    </row>
    <row r="158" spans="1:25" x14ac:dyDescent="0.35">
      <c r="A158" t="s">
        <v>0</v>
      </c>
      <c r="B158" s="1">
        <v>0.5440625</v>
      </c>
      <c r="C158" s="2">
        <v>948976</v>
      </c>
      <c r="D158" s="2">
        <v>558480</v>
      </c>
      <c r="E158" s="2">
        <v>1507456</v>
      </c>
      <c r="W158">
        <f t="shared" si="11"/>
        <v>0.94897600000000004</v>
      </c>
      <c r="X158">
        <f t="shared" si="9"/>
        <v>0.55847999999999998</v>
      </c>
      <c r="Y158">
        <f t="shared" si="10"/>
        <v>1.5074559999999999</v>
      </c>
    </row>
    <row r="159" spans="1:25" x14ac:dyDescent="0.35">
      <c r="A159" t="s">
        <v>0</v>
      </c>
      <c r="B159" s="1">
        <v>0.54475694444444445</v>
      </c>
      <c r="C159" s="2">
        <v>1266008</v>
      </c>
      <c r="D159" s="2">
        <v>824056</v>
      </c>
      <c r="E159" s="2">
        <v>2090064</v>
      </c>
      <c r="W159">
        <f t="shared" si="11"/>
        <v>1.266008</v>
      </c>
      <c r="X159">
        <f t="shared" si="9"/>
        <v>0.82405600000000001</v>
      </c>
      <c r="Y159">
        <f t="shared" si="10"/>
        <v>2.0900639999999999</v>
      </c>
    </row>
    <row r="160" spans="1:25" x14ac:dyDescent="0.35">
      <c r="A160" t="s">
        <v>0</v>
      </c>
      <c r="B160" s="1">
        <v>0.54545138888888889</v>
      </c>
      <c r="C160" s="2">
        <v>2092944</v>
      </c>
      <c r="D160" s="2">
        <v>1053480</v>
      </c>
      <c r="E160" s="2">
        <v>3146424</v>
      </c>
      <c r="W160">
        <f t="shared" si="11"/>
        <v>2.0929440000000001</v>
      </c>
      <c r="X160">
        <f t="shared" si="9"/>
        <v>1.05348</v>
      </c>
      <c r="Y160">
        <f t="shared" si="10"/>
        <v>3.1464240000000001</v>
      </c>
    </row>
    <row r="161" spans="1:25" x14ac:dyDescent="0.35">
      <c r="A161" t="s">
        <v>0</v>
      </c>
      <c r="B161" s="1">
        <v>0.54614583333333333</v>
      </c>
      <c r="C161" s="2">
        <v>3694176</v>
      </c>
      <c r="D161" s="2">
        <v>874040</v>
      </c>
      <c r="E161" s="2">
        <v>4568216</v>
      </c>
      <c r="W161">
        <f t="shared" si="11"/>
        <v>3.6941760000000001</v>
      </c>
      <c r="X161">
        <f t="shared" si="9"/>
        <v>0.87404000000000004</v>
      </c>
      <c r="Y161">
        <f t="shared" si="10"/>
        <v>4.5682159999999996</v>
      </c>
    </row>
    <row r="162" spans="1:25" x14ac:dyDescent="0.35">
      <c r="A162" t="s">
        <v>0</v>
      </c>
      <c r="B162" s="1">
        <v>0.54684027777777777</v>
      </c>
      <c r="C162" s="2">
        <v>2869304</v>
      </c>
      <c r="D162" s="2">
        <v>875808</v>
      </c>
      <c r="E162" s="2">
        <v>3745112</v>
      </c>
      <c r="W162">
        <f t="shared" si="11"/>
        <v>2.8693040000000001</v>
      </c>
      <c r="X162">
        <f t="shared" si="9"/>
        <v>0.87580800000000003</v>
      </c>
      <c r="Y162">
        <f t="shared" si="10"/>
        <v>3.7451120000000002</v>
      </c>
    </row>
    <row r="163" spans="1:25" x14ac:dyDescent="0.35">
      <c r="A163" t="s">
        <v>0</v>
      </c>
      <c r="B163" s="1">
        <v>0.54753472222222221</v>
      </c>
      <c r="C163" s="2">
        <v>14094152</v>
      </c>
      <c r="D163" s="2">
        <v>1005584</v>
      </c>
      <c r="E163" s="2">
        <v>15099736</v>
      </c>
      <c r="W163">
        <f t="shared" si="11"/>
        <v>14.094151999999999</v>
      </c>
      <c r="X163">
        <f t="shared" si="9"/>
        <v>1.005584</v>
      </c>
      <c r="Y163">
        <f t="shared" si="10"/>
        <v>15.099736</v>
      </c>
    </row>
    <row r="164" spans="1:25" x14ac:dyDescent="0.35">
      <c r="A164" t="s">
        <v>0</v>
      </c>
      <c r="B164" s="1">
        <v>0.5482407407407407</v>
      </c>
      <c r="C164" s="2">
        <v>679984</v>
      </c>
      <c r="D164" s="2">
        <v>442768</v>
      </c>
      <c r="E164" s="2">
        <v>1122752</v>
      </c>
      <c r="W164">
        <f t="shared" si="11"/>
        <v>0.67998400000000003</v>
      </c>
      <c r="X164">
        <f t="shared" si="9"/>
        <v>0.44276799999999999</v>
      </c>
      <c r="Y164">
        <f t="shared" si="10"/>
        <v>1.122752</v>
      </c>
    </row>
    <row r="165" spans="1:25" x14ac:dyDescent="0.35">
      <c r="A165" t="s">
        <v>0</v>
      </c>
      <c r="B165" s="1">
        <v>0.54893518518518514</v>
      </c>
      <c r="C165" s="2">
        <v>1510328</v>
      </c>
      <c r="D165" s="2">
        <v>700800</v>
      </c>
      <c r="E165" s="2">
        <v>2211128</v>
      </c>
      <c r="W165">
        <f t="shared" si="11"/>
        <v>1.5103279999999999</v>
      </c>
      <c r="X165">
        <f t="shared" si="9"/>
        <v>0.70079999999999998</v>
      </c>
      <c r="Y165">
        <f t="shared" si="10"/>
        <v>2.211128</v>
      </c>
    </row>
    <row r="166" spans="1:25" x14ac:dyDescent="0.35">
      <c r="A166" t="s">
        <v>0</v>
      </c>
      <c r="B166" s="1">
        <v>0.54962962962962958</v>
      </c>
      <c r="C166" s="2">
        <v>1176520</v>
      </c>
      <c r="D166" s="2">
        <v>982632</v>
      </c>
      <c r="E166" s="2">
        <v>2159152</v>
      </c>
      <c r="W166">
        <f t="shared" si="11"/>
        <v>1.17652</v>
      </c>
      <c r="X166">
        <f t="shared" si="9"/>
        <v>0.98263199999999995</v>
      </c>
      <c r="Y166">
        <f t="shared" si="10"/>
        <v>2.1591520000000002</v>
      </c>
    </row>
    <row r="167" spans="1:25" x14ac:dyDescent="0.35">
      <c r="A167" t="s">
        <v>0</v>
      </c>
      <c r="B167" s="1">
        <v>0.55032407407407402</v>
      </c>
      <c r="C167" s="2">
        <v>2793112</v>
      </c>
      <c r="D167" s="2">
        <v>863352</v>
      </c>
      <c r="E167" s="2">
        <v>3656464</v>
      </c>
      <c r="W167">
        <f t="shared" si="11"/>
        <v>2.7931119999999998</v>
      </c>
      <c r="X167">
        <f t="shared" si="9"/>
        <v>0.86335200000000001</v>
      </c>
      <c r="Y167">
        <f t="shared" si="10"/>
        <v>3.6564640000000002</v>
      </c>
    </row>
    <row r="168" spans="1:25" x14ac:dyDescent="0.35">
      <c r="A168" t="s">
        <v>0</v>
      </c>
      <c r="B168" s="1">
        <v>0.55101851851851846</v>
      </c>
      <c r="C168" s="2">
        <v>951032</v>
      </c>
      <c r="D168" s="2">
        <v>1671568</v>
      </c>
      <c r="E168" s="2">
        <v>2622600</v>
      </c>
      <c r="W168">
        <f t="shared" si="11"/>
        <v>0.95103199999999999</v>
      </c>
      <c r="X168">
        <f t="shared" si="9"/>
        <v>1.6715679999999999</v>
      </c>
      <c r="Y168">
        <f t="shared" si="10"/>
        <v>2.6225999999999998</v>
      </c>
    </row>
    <row r="169" spans="1:25" x14ac:dyDescent="0.35">
      <c r="A169" t="s">
        <v>0</v>
      </c>
      <c r="B169" s="1">
        <v>0.55171296296296302</v>
      </c>
      <c r="C169" s="2">
        <v>999624</v>
      </c>
      <c r="D169" s="2">
        <v>623760</v>
      </c>
      <c r="E169" s="2">
        <v>1623384</v>
      </c>
      <c r="W169">
        <f t="shared" si="11"/>
        <v>0.99962399999999996</v>
      </c>
      <c r="X169">
        <f t="shared" si="9"/>
        <v>0.62375999999999998</v>
      </c>
      <c r="Y169">
        <f t="shared" si="10"/>
        <v>1.6233839999999999</v>
      </c>
    </row>
    <row r="170" spans="1:25" x14ac:dyDescent="0.35">
      <c r="A170" t="s">
        <v>0</v>
      </c>
      <c r="B170" s="1">
        <v>0.55240740740740746</v>
      </c>
      <c r="C170" s="2">
        <v>1464544</v>
      </c>
      <c r="D170" s="2">
        <v>569472</v>
      </c>
      <c r="E170" s="2">
        <v>2034016</v>
      </c>
      <c r="W170">
        <f t="shared" si="11"/>
        <v>1.4645440000000001</v>
      </c>
      <c r="X170">
        <f t="shared" si="9"/>
        <v>0.56947199999999998</v>
      </c>
      <c r="Y170">
        <f t="shared" si="10"/>
        <v>2.0340159999999998</v>
      </c>
    </row>
    <row r="171" spans="1:25" x14ac:dyDescent="0.35">
      <c r="A171" t="s">
        <v>0</v>
      </c>
      <c r="B171" s="1">
        <v>0.5531018518518519</v>
      </c>
      <c r="C171" s="2">
        <v>4376488</v>
      </c>
      <c r="D171" s="2">
        <v>1375592</v>
      </c>
      <c r="E171" s="2">
        <v>5752080</v>
      </c>
      <c r="W171">
        <f t="shared" si="11"/>
        <v>4.3764880000000002</v>
      </c>
      <c r="X171">
        <f t="shared" si="9"/>
        <v>1.3755919999999999</v>
      </c>
      <c r="Y171">
        <f t="shared" si="10"/>
        <v>5.7520800000000003</v>
      </c>
    </row>
    <row r="172" spans="1:25" x14ac:dyDescent="0.35">
      <c r="A172" t="s">
        <v>0</v>
      </c>
      <c r="B172" s="1">
        <v>0.55380787037037038</v>
      </c>
      <c r="C172" s="2">
        <v>11029152</v>
      </c>
      <c r="D172" s="2">
        <v>7352728</v>
      </c>
      <c r="E172" s="2">
        <v>18381880</v>
      </c>
      <c r="W172">
        <f t="shared" si="11"/>
        <v>11.029152</v>
      </c>
      <c r="X172">
        <f t="shared" si="9"/>
        <v>7.3527279999999999</v>
      </c>
      <c r="Y172">
        <f t="shared" si="10"/>
        <v>18.381879999999999</v>
      </c>
    </row>
    <row r="173" spans="1:25" x14ac:dyDescent="0.35">
      <c r="A173" t="s">
        <v>0</v>
      </c>
      <c r="B173" s="1">
        <v>0.55450231481481482</v>
      </c>
      <c r="C173" s="2">
        <v>571784</v>
      </c>
      <c r="D173" s="2">
        <v>651976</v>
      </c>
      <c r="E173" s="2">
        <v>1223760</v>
      </c>
      <c r="W173">
        <f t="shared" si="11"/>
        <v>0.57178399999999996</v>
      </c>
      <c r="X173">
        <f t="shared" si="9"/>
        <v>0.651976</v>
      </c>
      <c r="Y173">
        <f t="shared" si="10"/>
        <v>1.22376</v>
      </c>
    </row>
    <row r="174" spans="1:25" x14ac:dyDescent="0.35">
      <c r="A174" t="s">
        <v>0</v>
      </c>
      <c r="B174" s="1">
        <v>0.55519675925925926</v>
      </c>
      <c r="C174" s="2">
        <v>957608</v>
      </c>
      <c r="D174" s="2">
        <v>728104</v>
      </c>
      <c r="E174" s="2">
        <v>1685712</v>
      </c>
      <c r="W174">
        <f t="shared" si="11"/>
        <v>0.95760800000000001</v>
      </c>
      <c r="X174">
        <f t="shared" si="9"/>
        <v>0.72810399999999997</v>
      </c>
      <c r="Y174">
        <f t="shared" si="10"/>
        <v>1.6857120000000001</v>
      </c>
    </row>
    <row r="175" spans="1:25" x14ac:dyDescent="0.35">
      <c r="A175" t="s">
        <v>0</v>
      </c>
      <c r="B175" s="1">
        <v>0.55589120370370371</v>
      </c>
      <c r="C175" s="2">
        <v>2194776</v>
      </c>
      <c r="D175" s="2">
        <v>1112800</v>
      </c>
      <c r="E175" s="2">
        <v>3307576</v>
      </c>
      <c r="W175">
        <f t="shared" si="11"/>
        <v>2.1947760000000001</v>
      </c>
      <c r="X175">
        <f t="shared" si="9"/>
        <v>1.1128</v>
      </c>
      <c r="Y175">
        <f t="shared" si="10"/>
        <v>3.3075760000000001</v>
      </c>
    </row>
    <row r="176" spans="1:25" x14ac:dyDescent="0.35">
      <c r="A176" t="s">
        <v>0</v>
      </c>
      <c r="B176" s="1">
        <v>0.55658564814814815</v>
      </c>
      <c r="C176" s="2">
        <v>3997832</v>
      </c>
      <c r="D176" s="2">
        <v>3286176</v>
      </c>
      <c r="E176" s="2">
        <v>7284008</v>
      </c>
      <c r="W176">
        <f t="shared" si="11"/>
        <v>3.9978319999999998</v>
      </c>
      <c r="X176">
        <f t="shared" si="9"/>
        <v>3.2861760000000002</v>
      </c>
      <c r="Y176">
        <f t="shared" si="10"/>
        <v>7.284008</v>
      </c>
    </row>
    <row r="177" spans="1:25" x14ac:dyDescent="0.35">
      <c r="A177" t="s">
        <v>0</v>
      </c>
      <c r="B177" s="1">
        <v>0.55728009259259259</v>
      </c>
      <c r="C177" s="2">
        <v>2261008</v>
      </c>
      <c r="D177" s="2">
        <v>1790496</v>
      </c>
      <c r="E177" s="2">
        <v>4051504</v>
      </c>
      <c r="W177">
        <f t="shared" si="11"/>
        <v>2.2610079999999999</v>
      </c>
      <c r="X177">
        <f t="shared" si="9"/>
        <v>1.7904960000000001</v>
      </c>
      <c r="Y177">
        <f t="shared" si="10"/>
        <v>4.0515040000000004</v>
      </c>
    </row>
    <row r="178" spans="1:25" x14ac:dyDescent="0.35">
      <c r="A178" t="s">
        <v>0</v>
      </c>
      <c r="B178" s="1">
        <v>0.55797453703703703</v>
      </c>
      <c r="C178" s="2">
        <v>6616120</v>
      </c>
      <c r="D178" s="2">
        <v>1730968</v>
      </c>
      <c r="E178" s="2">
        <v>8347088</v>
      </c>
      <c r="W178">
        <f t="shared" si="11"/>
        <v>6.6161199999999996</v>
      </c>
      <c r="X178">
        <f t="shared" si="9"/>
        <v>1.7309680000000001</v>
      </c>
      <c r="Y178">
        <f t="shared" si="10"/>
        <v>8.3470879999999994</v>
      </c>
    </row>
    <row r="179" spans="1:25" x14ac:dyDescent="0.35">
      <c r="A179" t="s">
        <v>0</v>
      </c>
      <c r="B179" s="1">
        <v>0.55866898148148147</v>
      </c>
      <c r="C179" s="2">
        <v>1436184</v>
      </c>
      <c r="D179" s="2">
        <v>1126744</v>
      </c>
      <c r="E179" s="2">
        <v>2562928</v>
      </c>
      <c r="W179">
        <f t="shared" si="11"/>
        <v>1.4361839999999999</v>
      </c>
      <c r="X179">
        <f t="shared" si="9"/>
        <v>1.126744</v>
      </c>
      <c r="Y179">
        <f t="shared" si="10"/>
        <v>2.5629279999999999</v>
      </c>
    </row>
    <row r="180" spans="1:25" x14ac:dyDescent="0.35">
      <c r="A180" t="s">
        <v>0</v>
      </c>
      <c r="B180" s="1">
        <v>0.55937499999999996</v>
      </c>
      <c r="C180" s="2">
        <v>1907512</v>
      </c>
      <c r="D180" s="2">
        <v>995120</v>
      </c>
      <c r="E180" s="2">
        <v>2902632</v>
      </c>
      <c r="W180">
        <f t="shared" si="11"/>
        <v>1.9075120000000001</v>
      </c>
      <c r="X180">
        <f t="shared" si="9"/>
        <v>0.99512</v>
      </c>
      <c r="Y180">
        <f t="shared" si="10"/>
        <v>2.9026320000000001</v>
      </c>
    </row>
    <row r="181" spans="1:25" x14ac:dyDescent="0.35">
      <c r="A181" t="s">
        <v>0</v>
      </c>
      <c r="B181" s="1">
        <v>0.5600694444444444</v>
      </c>
      <c r="C181" s="2">
        <v>1794344</v>
      </c>
      <c r="D181" s="2">
        <v>2554384</v>
      </c>
      <c r="E181" s="2">
        <v>4348728</v>
      </c>
      <c r="W181">
        <f t="shared" si="11"/>
        <v>1.7943439999999999</v>
      </c>
      <c r="X181">
        <f t="shared" si="9"/>
        <v>2.5543840000000002</v>
      </c>
      <c r="Y181">
        <f t="shared" si="10"/>
        <v>4.3487280000000004</v>
      </c>
    </row>
    <row r="182" spans="1:25" x14ac:dyDescent="0.35">
      <c r="A182" t="s">
        <v>0</v>
      </c>
      <c r="B182" s="1">
        <v>0.56076388888888884</v>
      </c>
      <c r="C182" s="2">
        <v>1552952</v>
      </c>
      <c r="D182" s="2">
        <v>1307664</v>
      </c>
      <c r="E182" s="2">
        <v>2860616</v>
      </c>
      <c r="W182">
        <f t="shared" si="11"/>
        <v>1.5529520000000001</v>
      </c>
      <c r="X182">
        <f t="shared" si="9"/>
        <v>1.3076639999999999</v>
      </c>
      <c r="Y182">
        <f t="shared" si="10"/>
        <v>2.8606159999999998</v>
      </c>
    </row>
    <row r="183" spans="1:25" x14ac:dyDescent="0.35">
      <c r="A183" t="s">
        <v>0</v>
      </c>
      <c r="B183" s="1">
        <v>0.56145833333333328</v>
      </c>
      <c r="C183" s="2">
        <v>3909208</v>
      </c>
      <c r="D183" s="2">
        <v>6180672</v>
      </c>
      <c r="E183" s="2">
        <v>10089880</v>
      </c>
      <c r="W183">
        <f t="shared" si="11"/>
        <v>3.909208</v>
      </c>
      <c r="X183">
        <f t="shared" si="9"/>
        <v>6.1806720000000004</v>
      </c>
      <c r="Y183">
        <f t="shared" si="10"/>
        <v>10.089880000000001</v>
      </c>
    </row>
    <row r="184" spans="1:25" x14ac:dyDescent="0.35">
      <c r="A184" t="s">
        <v>0</v>
      </c>
      <c r="B184" s="1">
        <v>0.56215277777777772</v>
      </c>
      <c r="C184" s="2">
        <v>121201144</v>
      </c>
      <c r="D184" s="2">
        <v>14824800</v>
      </c>
      <c r="E184" s="2">
        <v>136025944</v>
      </c>
      <c r="W184">
        <f t="shared" si="11"/>
        <v>121.201144</v>
      </c>
      <c r="X184">
        <f t="shared" si="9"/>
        <v>14.8248</v>
      </c>
      <c r="Y184">
        <f t="shared" si="10"/>
        <v>136.02594400000001</v>
      </c>
    </row>
    <row r="185" spans="1:25" x14ac:dyDescent="0.35">
      <c r="A185" t="s">
        <v>0</v>
      </c>
      <c r="B185" s="1">
        <v>0.56284722222222228</v>
      </c>
      <c r="C185" s="2">
        <v>148566224</v>
      </c>
      <c r="D185" s="2">
        <v>5341632</v>
      </c>
      <c r="E185" s="2">
        <v>153907856</v>
      </c>
      <c r="W185">
        <f t="shared" si="11"/>
        <v>148.56622400000001</v>
      </c>
      <c r="X185">
        <f t="shared" si="9"/>
        <v>5.3416319999999997</v>
      </c>
      <c r="Y185">
        <f t="shared" si="10"/>
        <v>153.90785600000001</v>
      </c>
    </row>
    <row r="186" spans="1:25" x14ac:dyDescent="0.35">
      <c r="A186" t="s">
        <v>0</v>
      </c>
      <c r="B186" s="1">
        <v>0.56354166666666672</v>
      </c>
      <c r="C186" s="2">
        <v>1897368</v>
      </c>
      <c r="D186" s="2">
        <v>2909192</v>
      </c>
      <c r="E186" s="2">
        <v>4806560</v>
      </c>
      <c r="W186">
        <f t="shared" si="11"/>
        <v>1.8973679999999999</v>
      </c>
      <c r="X186">
        <f t="shared" si="9"/>
        <v>2.909192</v>
      </c>
      <c r="Y186">
        <f t="shared" si="10"/>
        <v>4.8065600000000002</v>
      </c>
    </row>
    <row r="187" spans="1:25" x14ac:dyDescent="0.35">
      <c r="A187" t="s">
        <v>0</v>
      </c>
      <c r="B187" s="1">
        <v>0.56423611111111116</v>
      </c>
      <c r="C187" s="2">
        <v>1572728</v>
      </c>
      <c r="D187" s="2">
        <v>2122120</v>
      </c>
      <c r="E187" s="2">
        <v>3694848</v>
      </c>
      <c r="W187">
        <f t="shared" si="11"/>
        <v>1.5727279999999999</v>
      </c>
      <c r="X187">
        <f t="shared" si="9"/>
        <v>2.1221199999999998</v>
      </c>
      <c r="Y187">
        <f t="shared" si="10"/>
        <v>3.6948479999999999</v>
      </c>
    </row>
    <row r="188" spans="1:25" x14ac:dyDescent="0.35">
      <c r="A188" t="s">
        <v>0</v>
      </c>
      <c r="B188" s="1">
        <v>0.5649305555555556</v>
      </c>
      <c r="C188" s="2">
        <v>3128840</v>
      </c>
      <c r="D188" s="2">
        <v>7589272</v>
      </c>
      <c r="E188" s="2">
        <v>10718112</v>
      </c>
      <c r="W188">
        <f t="shared" si="11"/>
        <v>3.1288399999999998</v>
      </c>
      <c r="X188">
        <f t="shared" si="9"/>
        <v>7.5892720000000002</v>
      </c>
      <c r="Y188">
        <f t="shared" si="10"/>
        <v>10.718112</v>
      </c>
    </row>
    <row r="189" spans="1:25" x14ac:dyDescent="0.35">
      <c r="A189" t="s">
        <v>0</v>
      </c>
      <c r="B189" s="1">
        <v>0.56562500000000004</v>
      </c>
      <c r="C189" s="2">
        <v>1605856</v>
      </c>
      <c r="D189" s="2">
        <v>1901960</v>
      </c>
      <c r="E189" s="2">
        <v>3507816</v>
      </c>
      <c r="W189">
        <f t="shared" si="11"/>
        <v>1.605856</v>
      </c>
      <c r="X189">
        <f t="shared" si="9"/>
        <v>1.9019600000000001</v>
      </c>
      <c r="Y189">
        <f t="shared" si="10"/>
        <v>3.507816</v>
      </c>
    </row>
    <row r="190" spans="1:25" x14ac:dyDescent="0.35">
      <c r="A190" t="s">
        <v>0</v>
      </c>
      <c r="B190" s="1">
        <v>0.56631944444444449</v>
      </c>
      <c r="C190" s="2">
        <v>33289256</v>
      </c>
      <c r="D190" s="2">
        <v>6631280</v>
      </c>
      <c r="E190" s="2">
        <v>39920536</v>
      </c>
      <c r="W190">
        <f t="shared" si="11"/>
        <v>33.289256000000002</v>
      </c>
      <c r="X190">
        <f t="shared" si="9"/>
        <v>6.6312800000000003</v>
      </c>
      <c r="Y190">
        <f t="shared" si="10"/>
        <v>39.920535999999998</v>
      </c>
    </row>
    <row r="191" spans="1:25" x14ac:dyDescent="0.35">
      <c r="A191" t="s">
        <v>0</v>
      </c>
      <c r="B191" s="1">
        <v>0.56701388888888893</v>
      </c>
      <c r="C191" s="2">
        <v>20549480</v>
      </c>
      <c r="D191" s="2">
        <v>2088328</v>
      </c>
      <c r="E191" s="2">
        <v>22637808</v>
      </c>
      <c r="W191">
        <f t="shared" si="11"/>
        <v>20.549479999999999</v>
      </c>
      <c r="X191">
        <f t="shared" si="9"/>
        <v>2.0883280000000002</v>
      </c>
      <c r="Y191">
        <f t="shared" si="10"/>
        <v>22.637808</v>
      </c>
    </row>
    <row r="192" spans="1:25" x14ac:dyDescent="0.35">
      <c r="A192" t="s">
        <v>0</v>
      </c>
      <c r="B192" s="1">
        <v>0.56771990740740741</v>
      </c>
      <c r="C192" s="2">
        <v>90205208</v>
      </c>
      <c r="D192" s="2">
        <v>9363784</v>
      </c>
      <c r="E192" s="2">
        <v>99568992</v>
      </c>
      <c r="W192">
        <f t="shared" si="11"/>
        <v>90.205207999999999</v>
      </c>
      <c r="X192">
        <f t="shared" si="9"/>
        <v>9.3637840000000008</v>
      </c>
      <c r="Y192">
        <f t="shared" si="10"/>
        <v>99.568991999999994</v>
      </c>
    </row>
    <row r="193" spans="1:25" x14ac:dyDescent="0.35">
      <c r="A193" t="s">
        <v>0</v>
      </c>
      <c r="B193" s="1">
        <v>0.56841435185185185</v>
      </c>
      <c r="C193" s="2">
        <v>541650576</v>
      </c>
      <c r="D193" s="2">
        <v>6041704</v>
      </c>
      <c r="E193" s="2">
        <v>547692280</v>
      </c>
      <c r="W193">
        <f t="shared" si="11"/>
        <v>541.650576</v>
      </c>
      <c r="X193">
        <f t="shared" si="9"/>
        <v>6.0417040000000002</v>
      </c>
      <c r="Y193">
        <f t="shared" si="10"/>
        <v>547.69227999999998</v>
      </c>
    </row>
    <row r="194" spans="1:25" x14ac:dyDescent="0.35">
      <c r="A194" t="s">
        <v>0</v>
      </c>
      <c r="B194" s="1">
        <v>0.56910879629629629</v>
      </c>
      <c r="C194" s="2">
        <v>65019432</v>
      </c>
      <c r="D194" s="2">
        <v>3823752</v>
      </c>
      <c r="E194" s="2">
        <v>68843184</v>
      </c>
      <c r="W194">
        <f t="shared" si="11"/>
        <v>65.019431999999995</v>
      </c>
      <c r="X194">
        <f t="shared" ref="X194:X257" si="12">D194/1000000</f>
        <v>3.8237519999999998</v>
      </c>
      <c r="Y194">
        <f t="shared" ref="Y194:Y257" si="13">E194/1000000</f>
        <v>68.843183999999994</v>
      </c>
    </row>
    <row r="195" spans="1:25" x14ac:dyDescent="0.35">
      <c r="A195" t="s">
        <v>0</v>
      </c>
      <c r="B195" s="1">
        <v>0.56980324074074074</v>
      </c>
      <c r="C195" s="2">
        <v>6783368</v>
      </c>
      <c r="D195" s="2">
        <v>2146112</v>
      </c>
      <c r="E195" s="2">
        <v>8929480</v>
      </c>
      <c r="W195">
        <f t="shared" ref="W195:W258" si="14">C195/1000000</f>
        <v>6.7833680000000003</v>
      </c>
      <c r="X195">
        <f t="shared" si="12"/>
        <v>2.146112</v>
      </c>
      <c r="Y195">
        <f t="shared" si="13"/>
        <v>8.9294799999999999</v>
      </c>
    </row>
    <row r="196" spans="1:25" x14ac:dyDescent="0.35">
      <c r="A196" t="s">
        <v>0</v>
      </c>
      <c r="B196" s="1">
        <v>0.57049768518518518</v>
      </c>
      <c r="C196" s="2">
        <v>1896576</v>
      </c>
      <c r="D196" s="2">
        <v>1269264</v>
      </c>
      <c r="E196" s="2">
        <v>3165840</v>
      </c>
      <c r="W196">
        <f t="shared" si="14"/>
        <v>1.896576</v>
      </c>
      <c r="X196">
        <f t="shared" si="12"/>
        <v>1.2692639999999999</v>
      </c>
      <c r="Y196">
        <f t="shared" si="13"/>
        <v>3.1658400000000002</v>
      </c>
    </row>
    <row r="197" spans="1:25" x14ac:dyDescent="0.35">
      <c r="A197" t="s">
        <v>0</v>
      </c>
      <c r="B197" s="1">
        <v>0.57119212962962962</v>
      </c>
      <c r="C197" s="2">
        <v>1893784</v>
      </c>
      <c r="D197" s="2">
        <v>2207152</v>
      </c>
      <c r="E197" s="2">
        <v>4100936</v>
      </c>
      <c r="W197">
        <f t="shared" si="14"/>
        <v>1.8937839999999999</v>
      </c>
      <c r="X197">
        <f t="shared" si="12"/>
        <v>2.2071519999999998</v>
      </c>
      <c r="Y197">
        <f t="shared" si="13"/>
        <v>4.1009359999999999</v>
      </c>
    </row>
    <row r="198" spans="1:25" x14ac:dyDescent="0.35">
      <c r="A198" t="s">
        <v>0</v>
      </c>
      <c r="B198" s="1">
        <v>0.57188657407407406</v>
      </c>
      <c r="C198" s="2">
        <v>1594848</v>
      </c>
      <c r="D198" s="2">
        <v>2822168</v>
      </c>
      <c r="E198" s="2">
        <v>4417016</v>
      </c>
      <c r="W198">
        <f t="shared" si="14"/>
        <v>1.594848</v>
      </c>
      <c r="X198">
        <f t="shared" si="12"/>
        <v>2.822168</v>
      </c>
      <c r="Y198">
        <f t="shared" si="13"/>
        <v>4.4170160000000003</v>
      </c>
    </row>
    <row r="199" spans="1:25" x14ac:dyDescent="0.35">
      <c r="A199" t="s">
        <v>0</v>
      </c>
      <c r="B199" s="1">
        <v>0.5725810185185185</v>
      </c>
      <c r="C199" s="2">
        <v>129445960</v>
      </c>
      <c r="D199" s="2">
        <v>1891992</v>
      </c>
      <c r="E199" s="2">
        <v>131337952</v>
      </c>
      <c r="W199">
        <f t="shared" si="14"/>
        <v>129.44596000000001</v>
      </c>
      <c r="X199">
        <f t="shared" si="12"/>
        <v>1.8919919999999999</v>
      </c>
      <c r="Y199">
        <f t="shared" si="13"/>
        <v>131.337952</v>
      </c>
    </row>
    <row r="200" spans="1:25" x14ac:dyDescent="0.35">
      <c r="A200" t="s">
        <v>0</v>
      </c>
      <c r="B200" s="1">
        <v>0.57328703703703698</v>
      </c>
      <c r="C200" s="2">
        <v>439908736</v>
      </c>
      <c r="D200" s="2">
        <v>2907200</v>
      </c>
      <c r="E200" s="2">
        <v>442815936</v>
      </c>
      <c r="W200">
        <f t="shared" si="14"/>
        <v>439.90873599999998</v>
      </c>
      <c r="X200">
        <f t="shared" si="12"/>
        <v>2.9072</v>
      </c>
      <c r="Y200">
        <f t="shared" si="13"/>
        <v>442.81593600000002</v>
      </c>
    </row>
    <row r="201" spans="1:25" x14ac:dyDescent="0.35">
      <c r="A201" t="s">
        <v>0</v>
      </c>
      <c r="B201" s="1">
        <v>0.57398148148148154</v>
      </c>
      <c r="C201" s="2">
        <v>294751544</v>
      </c>
      <c r="D201" s="2">
        <v>2178368</v>
      </c>
      <c r="E201" s="2">
        <v>296929912</v>
      </c>
      <c r="W201">
        <f t="shared" si="14"/>
        <v>294.75154400000002</v>
      </c>
      <c r="X201">
        <f t="shared" si="12"/>
        <v>2.1783679999999999</v>
      </c>
      <c r="Y201">
        <f t="shared" si="13"/>
        <v>296.929912</v>
      </c>
    </row>
    <row r="202" spans="1:25" x14ac:dyDescent="0.35">
      <c r="A202" t="s">
        <v>0</v>
      </c>
      <c r="B202" s="1">
        <v>0.57467592592592598</v>
      </c>
      <c r="C202" s="2">
        <v>270691352</v>
      </c>
      <c r="D202" s="2">
        <v>2267456</v>
      </c>
      <c r="E202" s="2">
        <v>272958808</v>
      </c>
      <c r="W202">
        <f t="shared" si="14"/>
        <v>270.69135199999999</v>
      </c>
      <c r="X202">
        <f t="shared" si="12"/>
        <v>2.2674560000000001</v>
      </c>
      <c r="Y202">
        <f t="shared" si="13"/>
        <v>272.95880799999998</v>
      </c>
    </row>
    <row r="203" spans="1:25" x14ac:dyDescent="0.35">
      <c r="A203" t="s">
        <v>0</v>
      </c>
      <c r="B203" s="1">
        <v>0.57537037037037042</v>
      </c>
      <c r="C203" s="2">
        <v>371726552</v>
      </c>
      <c r="D203" s="2">
        <v>2893976</v>
      </c>
      <c r="E203" s="2">
        <v>374620528</v>
      </c>
      <c r="W203">
        <f t="shared" si="14"/>
        <v>371.72655200000003</v>
      </c>
      <c r="X203">
        <f t="shared" si="12"/>
        <v>2.8939759999999999</v>
      </c>
      <c r="Y203">
        <f t="shared" si="13"/>
        <v>374.62052799999998</v>
      </c>
    </row>
    <row r="204" spans="1:25" x14ac:dyDescent="0.35">
      <c r="A204" t="s">
        <v>0</v>
      </c>
      <c r="B204" s="1">
        <v>0.57606481481481486</v>
      </c>
      <c r="C204" s="2">
        <v>135878600</v>
      </c>
      <c r="D204" s="2">
        <v>1566424</v>
      </c>
      <c r="E204" s="2">
        <v>137445024</v>
      </c>
      <c r="W204">
        <f t="shared" si="14"/>
        <v>135.87860000000001</v>
      </c>
      <c r="X204">
        <f t="shared" si="12"/>
        <v>1.566424</v>
      </c>
      <c r="Y204">
        <f t="shared" si="13"/>
        <v>137.44502399999999</v>
      </c>
    </row>
    <row r="205" spans="1:25" x14ac:dyDescent="0.35">
      <c r="A205" t="s">
        <v>0</v>
      </c>
      <c r="B205" s="1">
        <v>0.5767592592592593</v>
      </c>
      <c r="C205" s="2">
        <v>117099520</v>
      </c>
      <c r="D205" s="2">
        <v>2887992</v>
      </c>
      <c r="E205" s="2">
        <v>119987512</v>
      </c>
      <c r="W205">
        <f t="shared" si="14"/>
        <v>117.09952</v>
      </c>
      <c r="X205">
        <f t="shared" si="12"/>
        <v>2.8879920000000001</v>
      </c>
      <c r="Y205">
        <f t="shared" si="13"/>
        <v>119.987512</v>
      </c>
    </row>
    <row r="206" spans="1:25" x14ac:dyDescent="0.35">
      <c r="A206" t="s">
        <v>0</v>
      </c>
      <c r="B206" s="1">
        <v>0.57745370370370375</v>
      </c>
      <c r="C206" s="2">
        <v>195884376</v>
      </c>
      <c r="D206" s="2">
        <v>1751688</v>
      </c>
      <c r="E206" s="2">
        <v>197636064</v>
      </c>
      <c r="W206">
        <f t="shared" si="14"/>
        <v>195.884376</v>
      </c>
      <c r="X206">
        <f t="shared" si="12"/>
        <v>1.7516879999999999</v>
      </c>
      <c r="Y206">
        <f t="shared" si="13"/>
        <v>197.636064</v>
      </c>
    </row>
    <row r="207" spans="1:25" x14ac:dyDescent="0.35">
      <c r="A207" t="s">
        <v>0</v>
      </c>
      <c r="B207" s="1">
        <v>0.57814814814814819</v>
      </c>
      <c r="C207" s="2">
        <v>271569504</v>
      </c>
      <c r="D207" s="2">
        <v>2650336</v>
      </c>
      <c r="E207" s="2">
        <v>274219840</v>
      </c>
      <c r="W207">
        <f t="shared" si="14"/>
        <v>271.56950399999999</v>
      </c>
      <c r="X207">
        <f t="shared" si="12"/>
        <v>2.6503359999999998</v>
      </c>
      <c r="Y207">
        <f t="shared" si="13"/>
        <v>274.21983999999998</v>
      </c>
    </row>
    <row r="208" spans="1:25" x14ac:dyDescent="0.35">
      <c r="A208" t="s">
        <v>0</v>
      </c>
      <c r="B208" s="1">
        <v>0.57885416666666667</v>
      </c>
      <c r="C208" s="2">
        <v>290690688</v>
      </c>
      <c r="D208" s="2">
        <v>3068160</v>
      </c>
      <c r="E208" s="2">
        <v>293758848</v>
      </c>
      <c r="W208">
        <f t="shared" si="14"/>
        <v>290.69068800000002</v>
      </c>
      <c r="X208">
        <f t="shared" si="12"/>
        <v>3.0681600000000002</v>
      </c>
      <c r="Y208">
        <f t="shared" si="13"/>
        <v>293.758848</v>
      </c>
    </row>
    <row r="209" spans="1:25" x14ac:dyDescent="0.35">
      <c r="A209" t="s">
        <v>0</v>
      </c>
      <c r="B209" s="1">
        <v>0.57954861111111111</v>
      </c>
      <c r="C209" s="2">
        <v>433103992</v>
      </c>
      <c r="D209" s="2">
        <v>2917960</v>
      </c>
      <c r="E209" s="2">
        <v>436021952</v>
      </c>
      <c r="W209">
        <f t="shared" si="14"/>
        <v>433.10399200000001</v>
      </c>
      <c r="X209">
        <f t="shared" si="12"/>
        <v>2.9179599999999999</v>
      </c>
      <c r="Y209">
        <f t="shared" si="13"/>
        <v>436.021952</v>
      </c>
    </row>
    <row r="210" spans="1:25" x14ac:dyDescent="0.35">
      <c r="A210" t="s">
        <v>0</v>
      </c>
      <c r="B210" s="1">
        <v>0.58024305555555555</v>
      </c>
      <c r="C210" s="2">
        <v>294107480</v>
      </c>
      <c r="D210" s="2">
        <v>2332104</v>
      </c>
      <c r="E210" s="2">
        <v>296439584</v>
      </c>
      <c r="W210">
        <f t="shared" si="14"/>
        <v>294.10748000000001</v>
      </c>
      <c r="X210">
        <f t="shared" si="12"/>
        <v>2.3321040000000002</v>
      </c>
      <c r="Y210">
        <f t="shared" si="13"/>
        <v>296.43958400000002</v>
      </c>
    </row>
    <row r="211" spans="1:25" x14ac:dyDescent="0.35">
      <c r="A211" t="s">
        <v>0</v>
      </c>
      <c r="B211" s="1">
        <v>0.5809375</v>
      </c>
      <c r="C211" s="2">
        <v>294967960</v>
      </c>
      <c r="D211" s="2">
        <v>2262032</v>
      </c>
      <c r="E211" s="2">
        <v>297229992</v>
      </c>
      <c r="W211">
        <f t="shared" si="14"/>
        <v>294.96796000000001</v>
      </c>
      <c r="X211">
        <f t="shared" si="12"/>
        <v>2.262032</v>
      </c>
      <c r="Y211">
        <f t="shared" si="13"/>
        <v>297.22999199999998</v>
      </c>
    </row>
    <row r="212" spans="1:25" x14ac:dyDescent="0.35">
      <c r="A212" t="s">
        <v>0</v>
      </c>
      <c r="B212" s="1">
        <v>0.58163194444444444</v>
      </c>
      <c r="C212" s="2">
        <v>348540144</v>
      </c>
      <c r="D212" s="2">
        <v>2413264</v>
      </c>
      <c r="E212" s="2">
        <v>350953408</v>
      </c>
      <c r="W212">
        <f t="shared" si="14"/>
        <v>348.540144</v>
      </c>
      <c r="X212">
        <f t="shared" si="12"/>
        <v>2.4132639999999999</v>
      </c>
      <c r="Y212">
        <f t="shared" si="13"/>
        <v>350.95340800000002</v>
      </c>
    </row>
    <row r="213" spans="1:25" x14ac:dyDescent="0.35">
      <c r="A213" t="s">
        <v>0</v>
      </c>
      <c r="B213" s="1">
        <v>0.58232638888888888</v>
      </c>
      <c r="C213" s="2">
        <v>145225496</v>
      </c>
      <c r="D213" s="2">
        <v>1338664</v>
      </c>
      <c r="E213" s="2">
        <v>146564160</v>
      </c>
      <c r="W213">
        <f t="shared" si="14"/>
        <v>145.22549599999999</v>
      </c>
      <c r="X213">
        <f t="shared" si="12"/>
        <v>1.3386640000000001</v>
      </c>
      <c r="Y213">
        <f t="shared" si="13"/>
        <v>146.56415999999999</v>
      </c>
    </row>
    <row r="214" spans="1:25" x14ac:dyDescent="0.35">
      <c r="A214" t="s">
        <v>0</v>
      </c>
      <c r="B214" s="1">
        <v>0.58302083333333332</v>
      </c>
      <c r="C214" s="2">
        <v>379910848</v>
      </c>
      <c r="D214" s="2">
        <v>3697328</v>
      </c>
      <c r="E214" s="2">
        <v>383608176</v>
      </c>
      <c r="W214">
        <f t="shared" si="14"/>
        <v>379.91084799999999</v>
      </c>
      <c r="X214">
        <f t="shared" si="12"/>
        <v>3.6973280000000002</v>
      </c>
      <c r="Y214">
        <f t="shared" si="13"/>
        <v>383.60817600000001</v>
      </c>
    </row>
    <row r="215" spans="1:25" x14ac:dyDescent="0.35">
      <c r="A215" t="s">
        <v>0</v>
      </c>
      <c r="B215" s="1">
        <v>0.58371527777777776</v>
      </c>
      <c r="C215" s="2">
        <v>276104784</v>
      </c>
      <c r="D215" s="2">
        <v>2633656</v>
      </c>
      <c r="E215" s="2">
        <v>278738440</v>
      </c>
      <c r="W215">
        <f t="shared" si="14"/>
        <v>276.104784</v>
      </c>
      <c r="X215">
        <f t="shared" si="12"/>
        <v>2.6336560000000002</v>
      </c>
      <c r="Y215">
        <f t="shared" si="13"/>
        <v>278.73844000000003</v>
      </c>
    </row>
    <row r="216" spans="1:25" x14ac:dyDescent="0.35">
      <c r="A216" t="s">
        <v>0</v>
      </c>
      <c r="B216" s="1">
        <v>0.58442129629629624</v>
      </c>
      <c r="C216" s="2">
        <v>362255688</v>
      </c>
      <c r="D216" s="2">
        <v>2984864</v>
      </c>
      <c r="E216" s="2">
        <v>365240552</v>
      </c>
      <c r="W216">
        <f t="shared" si="14"/>
        <v>362.25568800000002</v>
      </c>
      <c r="X216">
        <f t="shared" si="12"/>
        <v>2.984864</v>
      </c>
      <c r="Y216">
        <f t="shared" si="13"/>
        <v>365.24055199999998</v>
      </c>
    </row>
    <row r="217" spans="1:25" x14ac:dyDescent="0.35">
      <c r="A217" t="s">
        <v>0</v>
      </c>
      <c r="B217" s="1">
        <v>0.58511574074074069</v>
      </c>
      <c r="C217" s="2">
        <v>236994544</v>
      </c>
      <c r="D217" s="2">
        <v>2272368</v>
      </c>
      <c r="E217" s="2">
        <v>239266912</v>
      </c>
      <c r="W217">
        <f t="shared" si="14"/>
        <v>236.99454399999999</v>
      </c>
      <c r="X217">
        <f t="shared" si="12"/>
        <v>2.2723680000000002</v>
      </c>
      <c r="Y217">
        <f t="shared" si="13"/>
        <v>239.26691199999999</v>
      </c>
    </row>
    <row r="218" spans="1:25" x14ac:dyDescent="0.35">
      <c r="A218" t="s">
        <v>0</v>
      </c>
      <c r="B218" s="1">
        <v>0.58581018518518524</v>
      </c>
      <c r="C218" s="2">
        <v>51912296</v>
      </c>
      <c r="D218" s="2">
        <v>2806928</v>
      </c>
      <c r="E218" s="2">
        <v>54719224</v>
      </c>
      <c r="W218">
        <f t="shared" si="14"/>
        <v>51.912295999999998</v>
      </c>
      <c r="X218">
        <f t="shared" si="12"/>
        <v>2.8069280000000001</v>
      </c>
      <c r="Y218">
        <f t="shared" si="13"/>
        <v>54.719223999999997</v>
      </c>
    </row>
    <row r="219" spans="1:25" x14ac:dyDescent="0.35">
      <c r="A219" t="s">
        <v>0</v>
      </c>
      <c r="B219" s="1">
        <v>0.58650462962962968</v>
      </c>
      <c r="C219" s="2">
        <v>650748536</v>
      </c>
      <c r="D219" s="2">
        <v>14246536</v>
      </c>
      <c r="E219" s="2">
        <v>664995072</v>
      </c>
      <c r="W219">
        <f t="shared" si="14"/>
        <v>650.74853599999994</v>
      </c>
      <c r="X219">
        <f t="shared" si="12"/>
        <v>14.246536000000001</v>
      </c>
      <c r="Y219">
        <f t="shared" si="13"/>
        <v>664.99507200000005</v>
      </c>
    </row>
    <row r="220" spans="1:25" x14ac:dyDescent="0.35">
      <c r="A220" t="s">
        <v>0</v>
      </c>
      <c r="B220" s="1">
        <v>0.58719907407407412</v>
      </c>
      <c r="C220" s="2">
        <v>111186656</v>
      </c>
      <c r="D220" s="2">
        <v>10013768</v>
      </c>
      <c r="E220" s="2">
        <v>121200424</v>
      </c>
      <c r="W220">
        <f t="shared" si="14"/>
        <v>111.186656</v>
      </c>
      <c r="X220">
        <f t="shared" si="12"/>
        <v>10.013768000000001</v>
      </c>
      <c r="Y220">
        <f t="shared" si="13"/>
        <v>121.200424</v>
      </c>
    </row>
    <row r="221" spans="1:25" x14ac:dyDescent="0.35">
      <c r="A221" t="s">
        <v>0</v>
      </c>
      <c r="B221" s="1">
        <v>0.58789351851851857</v>
      </c>
      <c r="C221" s="2">
        <v>277770032</v>
      </c>
      <c r="D221" s="2">
        <v>9018272</v>
      </c>
      <c r="E221" s="2">
        <v>286788304</v>
      </c>
      <c r="W221">
        <f t="shared" si="14"/>
        <v>277.77003200000001</v>
      </c>
      <c r="X221">
        <f t="shared" si="12"/>
        <v>9.0182719999999996</v>
      </c>
      <c r="Y221">
        <f t="shared" si="13"/>
        <v>286.78830399999998</v>
      </c>
    </row>
    <row r="222" spans="1:25" x14ac:dyDescent="0.35">
      <c r="A222" t="s">
        <v>0</v>
      </c>
      <c r="B222" s="1">
        <v>0.58858796296296301</v>
      </c>
      <c r="C222" s="2">
        <v>240842784</v>
      </c>
      <c r="D222" s="2">
        <v>3845824</v>
      </c>
      <c r="E222" s="2">
        <v>244688608</v>
      </c>
      <c r="W222">
        <f t="shared" si="14"/>
        <v>240.84278399999999</v>
      </c>
      <c r="X222">
        <f t="shared" si="12"/>
        <v>3.8458239999999999</v>
      </c>
      <c r="Y222">
        <f t="shared" si="13"/>
        <v>244.68860799999999</v>
      </c>
    </row>
    <row r="223" spans="1:25" x14ac:dyDescent="0.35">
      <c r="A223" t="s">
        <v>0</v>
      </c>
      <c r="B223" s="1">
        <v>0.58928240740740745</v>
      </c>
      <c r="C223" s="2">
        <v>269711288</v>
      </c>
      <c r="D223" s="2">
        <v>2296000</v>
      </c>
      <c r="E223" s="2">
        <v>272007288</v>
      </c>
      <c r="W223">
        <f t="shared" si="14"/>
        <v>269.71128800000002</v>
      </c>
      <c r="X223">
        <f t="shared" si="12"/>
        <v>2.2959999999999998</v>
      </c>
      <c r="Y223">
        <f t="shared" si="13"/>
        <v>272.00728800000002</v>
      </c>
    </row>
    <row r="224" spans="1:25" x14ac:dyDescent="0.35">
      <c r="A224" t="s">
        <v>0</v>
      </c>
      <c r="B224" s="1">
        <v>0.58998842592592593</v>
      </c>
      <c r="C224" s="2">
        <v>183925464</v>
      </c>
      <c r="D224" s="2">
        <v>1835560</v>
      </c>
      <c r="E224" s="2">
        <v>185761024</v>
      </c>
      <c r="W224">
        <f t="shared" si="14"/>
        <v>183.92546400000001</v>
      </c>
      <c r="X224">
        <f t="shared" si="12"/>
        <v>1.8355600000000001</v>
      </c>
      <c r="Y224">
        <f t="shared" si="13"/>
        <v>185.76102399999999</v>
      </c>
    </row>
    <row r="225" spans="1:25" x14ac:dyDescent="0.35">
      <c r="A225" t="s">
        <v>0</v>
      </c>
      <c r="B225" s="1">
        <v>0.59068287037037037</v>
      </c>
      <c r="C225" s="2">
        <v>415641384</v>
      </c>
      <c r="D225" s="2">
        <v>2771008</v>
      </c>
      <c r="E225" s="2">
        <v>418412392</v>
      </c>
      <c r="W225">
        <f t="shared" si="14"/>
        <v>415.64138400000002</v>
      </c>
      <c r="X225">
        <f t="shared" si="12"/>
        <v>2.7710080000000001</v>
      </c>
      <c r="Y225">
        <f t="shared" si="13"/>
        <v>418.41239200000001</v>
      </c>
    </row>
    <row r="226" spans="1:25" x14ac:dyDescent="0.35">
      <c r="A226" t="s">
        <v>0</v>
      </c>
      <c r="B226" s="1">
        <v>0.59137731481481481</v>
      </c>
      <c r="C226" s="2">
        <v>276958800</v>
      </c>
      <c r="D226" s="2">
        <v>2019000</v>
      </c>
      <c r="E226" s="2">
        <v>278977800</v>
      </c>
      <c r="W226">
        <f t="shared" si="14"/>
        <v>276.9588</v>
      </c>
      <c r="X226">
        <f t="shared" si="12"/>
        <v>2.0190000000000001</v>
      </c>
      <c r="Y226">
        <f t="shared" si="13"/>
        <v>278.9778</v>
      </c>
    </row>
    <row r="227" spans="1:25" x14ac:dyDescent="0.35">
      <c r="A227" t="s">
        <v>0</v>
      </c>
      <c r="B227" s="1">
        <v>0.59207175925925926</v>
      </c>
      <c r="C227" s="2">
        <v>291384592</v>
      </c>
      <c r="D227" s="2">
        <v>2832056</v>
      </c>
      <c r="E227" s="2">
        <v>294216648</v>
      </c>
      <c r="W227">
        <f t="shared" si="14"/>
        <v>291.384592</v>
      </c>
      <c r="X227">
        <f t="shared" si="12"/>
        <v>2.8320560000000001</v>
      </c>
      <c r="Y227">
        <f t="shared" si="13"/>
        <v>294.21664800000002</v>
      </c>
    </row>
    <row r="228" spans="1:25" x14ac:dyDescent="0.35">
      <c r="A228" t="s">
        <v>0</v>
      </c>
      <c r="B228" s="1">
        <v>0.5927662037037037</v>
      </c>
      <c r="C228" s="2">
        <v>237721272</v>
      </c>
      <c r="D228" s="2">
        <v>3515384</v>
      </c>
      <c r="E228" s="2">
        <v>241236656</v>
      </c>
      <c r="W228">
        <f t="shared" si="14"/>
        <v>237.721272</v>
      </c>
      <c r="X228">
        <f t="shared" si="12"/>
        <v>3.5153840000000001</v>
      </c>
      <c r="Y228">
        <f t="shared" si="13"/>
        <v>241.23665600000001</v>
      </c>
    </row>
    <row r="229" spans="1:25" x14ac:dyDescent="0.35">
      <c r="A229" t="s">
        <v>0</v>
      </c>
      <c r="B229" s="1">
        <v>0.59346064814814814</v>
      </c>
      <c r="C229" s="2">
        <v>112924984</v>
      </c>
      <c r="D229" s="2">
        <v>2304600</v>
      </c>
      <c r="E229" s="2">
        <v>115229584</v>
      </c>
      <c r="W229">
        <f t="shared" si="14"/>
        <v>112.92498399999999</v>
      </c>
      <c r="X229">
        <f t="shared" si="12"/>
        <v>2.3046000000000002</v>
      </c>
      <c r="Y229">
        <f t="shared" si="13"/>
        <v>115.229584</v>
      </c>
    </row>
    <row r="230" spans="1:25" x14ac:dyDescent="0.35">
      <c r="A230" t="s">
        <v>0</v>
      </c>
      <c r="B230" s="1">
        <v>0.59415509259259258</v>
      </c>
      <c r="C230" s="2">
        <v>359582120</v>
      </c>
      <c r="D230" s="2">
        <v>4275448</v>
      </c>
      <c r="E230" s="2">
        <v>363857568</v>
      </c>
      <c r="W230">
        <f t="shared" si="14"/>
        <v>359.58211999999997</v>
      </c>
      <c r="X230">
        <f t="shared" si="12"/>
        <v>4.2754479999999999</v>
      </c>
      <c r="Y230">
        <f t="shared" si="13"/>
        <v>363.85756800000001</v>
      </c>
    </row>
    <row r="231" spans="1:25" x14ac:dyDescent="0.35">
      <c r="A231" t="s">
        <v>0</v>
      </c>
      <c r="B231" s="1">
        <v>0.59484953703703702</v>
      </c>
      <c r="C231" s="2">
        <v>301499688</v>
      </c>
      <c r="D231" s="2">
        <v>2921992</v>
      </c>
      <c r="E231" s="2">
        <v>304421680</v>
      </c>
      <c r="W231">
        <f t="shared" si="14"/>
        <v>301.49968799999999</v>
      </c>
      <c r="X231">
        <f t="shared" si="12"/>
        <v>2.9219919999999999</v>
      </c>
      <c r="Y231">
        <f t="shared" si="13"/>
        <v>304.42167999999998</v>
      </c>
    </row>
    <row r="232" spans="1:25" x14ac:dyDescent="0.35">
      <c r="A232" t="s">
        <v>0</v>
      </c>
      <c r="B232" s="1">
        <v>0.5955555555555555</v>
      </c>
      <c r="C232" s="2">
        <v>296360400</v>
      </c>
      <c r="D232" s="2">
        <v>2251344</v>
      </c>
      <c r="E232" s="2">
        <v>298611744</v>
      </c>
      <c r="W232">
        <f t="shared" si="14"/>
        <v>296.36040000000003</v>
      </c>
      <c r="X232">
        <f t="shared" si="12"/>
        <v>2.251344</v>
      </c>
      <c r="Y232">
        <f t="shared" si="13"/>
        <v>298.61174399999999</v>
      </c>
    </row>
    <row r="233" spans="1:25" x14ac:dyDescent="0.35">
      <c r="A233" t="s">
        <v>0</v>
      </c>
      <c r="B233" s="1">
        <v>0.59624999999999995</v>
      </c>
      <c r="C233" s="2">
        <v>352954712</v>
      </c>
      <c r="D233" s="2">
        <v>2390072</v>
      </c>
      <c r="E233" s="2">
        <v>355344784</v>
      </c>
      <c r="W233">
        <f t="shared" si="14"/>
        <v>352.95471199999997</v>
      </c>
      <c r="X233">
        <f t="shared" si="12"/>
        <v>2.390072</v>
      </c>
      <c r="Y233">
        <f t="shared" si="13"/>
        <v>355.344784</v>
      </c>
    </row>
    <row r="234" spans="1:25" x14ac:dyDescent="0.35">
      <c r="A234" t="s">
        <v>0</v>
      </c>
      <c r="B234" s="1">
        <v>0.5969444444444445</v>
      </c>
      <c r="C234" s="2">
        <v>286967720</v>
      </c>
      <c r="D234" s="2">
        <v>1973096</v>
      </c>
      <c r="E234" s="2">
        <v>288940816</v>
      </c>
      <c r="W234">
        <f t="shared" si="14"/>
        <v>286.96771999999999</v>
      </c>
      <c r="X234">
        <f t="shared" si="12"/>
        <v>1.973096</v>
      </c>
      <c r="Y234">
        <f t="shared" si="13"/>
        <v>288.94081599999998</v>
      </c>
    </row>
    <row r="235" spans="1:25" x14ac:dyDescent="0.35">
      <c r="A235" t="s">
        <v>0</v>
      </c>
      <c r="B235" s="1">
        <v>0.59763888888888894</v>
      </c>
      <c r="C235" s="2">
        <v>65130760</v>
      </c>
      <c r="D235" s="2">
        <v>1213440</v>
      </c>
      <c r="E235" s="2">
        <v>66344200</v>
      </c>
      <c r="W235">
        <f t="shared" si="14"/>
        <v>65.130759999999995</v>
      </c>
      <c r="X235">
        <f t="shared" si="12"/>
        <v>1.2134400000000001</v>
      </c>
      <c r="Y235">
        <f t="shared" si="13"/>
        <v>66.344200000000001</v>
      </c>
    </row>
    <row r="236" spans="1:25" x14ac:dyDescent="0.35">
      <c r="A236" t="s">
        <v>0</v>
      </c>
      <c r="B236" s="1">
        <v>0.59833333333333338</v>
      </c>
      <c r="C236" s="2">
        <v>1809600</v>
      </c>
      <c r="D236" s="2">
        <v>655896</v>
      </c>
      <c r="E236" s="2">
        <v>2465496</v>
      </c>
      <c r="W236">
        <f t="shared" si="14"/>
        <v>1.8096000000000001</v>
      </c>
      <c r="X236">
        <f t="shared" si="12"/>
        <v>0.65589600000000003</v>
      </c>
      <c r="Y236">
        <f t="shared" si="13"/>
        <v>2.4654959999999999</v>
      </c>
    </row>
    <row r="237" spans="1:25" x14ac:dyDescent="0.35">
      <c r="A237" t="s">
        <v>0</v>
      </c>
      <c r="B237" s="1">
        <v>0.59902777777777783</v>
      </c>
      <c r="C237" s="2">
        <v>666976</v>
      </c>
      <c r="D237" s="2">
        <v>527776</v>
      </c>
      <c r="E237" s="2">
        <v>1194752</v>
      </c>
      <c r="W237">
        <f t="shared" si="14"/>
        <v>0.66697600000000001</v>
      </c>
      <c r="X237">
        <f t="shared" si="12"/>
        <v>0.52777600000000002</v>
      </c>
      <c r="Y237">
        <f t="shared" si="13"/>
        <v>1.194752</v>
      </c>
    </row>
    <row r="238" spans="1:25" x14ac:dyDescent="0.35">
      <c r="A238" t="s">
        <v>0</v>
      </c>
      <c r="B238" s="1">
        <v>0.59972222222222227</v>
      </c>
      <c r="C238" s="2">
        <v>404960</v>
      </c>
      <c r="D238" s="2">
        <v>351272</v>
      </c>
      <c r="E238" s="2">
        <v>756232</v>
      </c>
      <c r="W238">
        <f t="shared" si="14"/>
        <v>0.40495999999999999</v>
      </c>
      <c r="X238">
        <f t="shared" si="12"/>
        <v>0.35127199999999997</v>
      </c>
      <c r="Y238">
        <f t="shared" si="13"/>
        <v>0.75623200000000002</v>
      </c>
    </row>
    <row r="239" spans="1:25" x14ac:dyDescent="0.35">
      <c r="A239" t="s">
        <v>0</v>
      </c>
      <c r="B239" s="1">
        <v>0.60041666666666671</v>
      </c>
      <c r="C239" s="2">
        <v>1039880</v>
      </c>
      <c r="D239" s="2">
        <v>740176</v>
      </c>
      <c r="E239" s="2">
        <v>1780056</v>
      </c>
      <c r="W239">
        <f t="shared" si="14"/>
        <v>1.0398799999999999</v>
      </c>
      <c r="X239">
        <f t="shared" si="12"/>
        <v>0.74017599999999995</v>
      </c>
      <c r="Y239">
        <f t="shared" si="13"/>
        <v>1.7800560000000001</v>
      </c>
    </row>
    <row r="240" spans="1:25" x14ac:dyDescent="0.35">
      <c r="A240" t="s">
        <v>0</v>
      </c>
      <c r="B240" s="1">
        <v>0.60112268518518519</v>
      </c>
      <c r="C240" s="2">
        <v>352587664</v>
      </c>
      <c r="D240" s="2">
        <v>5816960</v>
      </c>
      <c r="E240" s="2">
        <v>358404624</v>
      </c>
      <c r="W240">
        <f t="shared" si="14"/>
        <v>352.58766400000002</v>
      </c>
      <c r="X240">
        <f t="shared" si="12"/>
        <v>5.8169599999999999</v>
      </c>
      <c r="Y240">
        <f t="shared" si="13"/>
        <v>358.40462400000001</v>
      </c>
    </row>
    <row r="241" spans="1:25" x14ac:dyDescent="0.35">
      <c r="A241" t="s">
        <v>0</v>
      </c>
      <c r="B241" s="1">
        <v>0.60181712962962963</v>
      </c>
      <c r="C241" s="2">
        <v>1058464</v>
      </c>
      <c r="D241" s="2">
        <v>796576</v>
      </c>
      <c r="E241" s="2">
        <v>1855040</v>
      </c>
      <c r="W241">
        <f t="shared" si="14"/>
        <v>1.0584640000000001</v>
      </c>
      <c r="X241">
        <f t="shared" si="12"/>
        <v>0.79657599999999995</v>
      </c>
      <c r="Y241">
        <f t="shared" si="13"/>
        <v>1.85504</v>
      </c>
    </row>
    <row r="242" spans="1:25" x14ac:dyDescent="0.35">
      <c r="A242" t="s">
        <v>0</v>
      </c>
      <c r="B242" s="1">
        <v>0.60251157407407407</v>
      </c>
      <c r="C242" s="2">
        <v>13438464</v>
      </c>
      <c r="D242" s="2">
        <v>1090688</v>
      </c>
      <c r="E242" s="2">
        <v>14529152</v>
      </c>
      <c r="W242">
        <f t="shared" si="14"/>
        <v>13.438464</v>
      </c>
      <c r="X242">
        <f t="shared" si="12"/>
        <v>1.0906880000000001</v>
      </c>
      <c r="Y242">
        <f t="shared" si="13"/>
        <v>14.529152</v>
      </c>
    </row>
    <row r="243" spans="1:25" x14ac:dyDescent="0.35">
      <c r="A243" t="s">
        <v>0</v>
      </c>
      <c r="B243" s="1">
        <v>0.60320601851851852</v>
      </c>
      <c r="C243" s="2">
        <v>24185704</v>
      </c>
      <c r="D243" s="2">
        <v>980264</v>
      </c>
      <c r="E243" s="2">
        <v>25165968</v>
      </c>
      <c r="W243">
        <f t="shared" si="14"/>
        <v>24.185704000000001</v>
      </c>
      <c r="X243">
        <f t="shared" si="12"/>
        <v>0.98026400000000002</v>
      </c>
      <c r="Y243">
        <f t="shared" si="13"/>
        <v>25.165967999999999</v>
      </c>
    </row>
    <row r="244" spans="1:25" x14ac:dyDescent="0.35">
      <c r="A244" t="s">
        <v>0</v>
      </c>
      <c r="B244" s="1">
        <v>0.60390046296296296</v>
      </c>
      <c r="C244" s="2">
        <v>151192528</v>
      </c>
      <c r="D244" s="2">
        <v>1566520</v>
      </c>
      <c r="E244" s="2">
        <v>152759048</v>
      </c>
      <c r="W244">
        <f t="shared" si="14"/>
        <v>151.19252800000001</v>
      </c>
      <c r="X244">
        <f t="shared" si="12"/>
        <v>1.5665199999999999</v>
      </c>
      <c r="Y244">
        <f t="shared" si="13"/>
        <v>152.75904800000001</v>
      </c>
    </row>
    <row r="245" spans="1:25" x14ac:dyDescent="0.35">
      <c r="A245" t="s">
        <v>0</v>
      </c>
      <c r="B245" s="1">
        <v>0.6045949074074074</v>
      </c>
      <c r="C245" s="2">
        <v>261694888</v>
      </c>
      <c r="D245" s="2">
        <v>1910072</v>
      </c>
      <c r="E245" s="2">
        <v>263604960</v>
      </c>
      <c r="W245">
        <f t="shared" si="14"/>
        <v>261.69488799999999</v>
      </c>
      <c r="X245">
        <f t="shared" si="12"/>
        <v>1.910072</v>
      </c>
      <c r="Y245">
        <f t="shared" si="13"/>
        <v>263.60496000000001</v>
      </c>
    </row>
    <row r="246" spans="1:25" x14ac:dyDescent="0.35">
      <c r="A246" t="s">
        <v>0</v>
      </c>
      <c r="B246" s="1">
        <v>0.60528935185185184</v>
      </c>
      <c r="C246" s="2">
        <v>395349632</v>
      </c>
      <c r="D246" s="2">
        <v>2447896</v>
      </c>
      <c r="E246" s="2">
        <v>397797528</v>
      </c>
      <c r="W246">
        <f t="shared" si="14"/>
        <v>395.34963199999999</v>
      </c>
      <c r="X246">
        <f t="shared" si="12"/>
        <v>2.4478960000000001</v>
      </c>
      <c r="Y246">
        <f t="shared" si="13"/>
        <v>397.797528</v>
      </c>
    </row>
    <row r="247" spans="1:25" x14ac:dyDescent="0.35">
      <c r="A247" t="s">
        <v>0</v>
      </c>
      <c r="B247" s="1">
        <v>0.60598379629629628</v>
      </c>
      <c r="C247" s="2">
        <v>269206032</v>
      </c>
      <c r="D247" s="2">
        <v>2246456</v>
      </c>
      <c r="E247" s="2">
        <v>271452488</v>
      </c>
      <c r="W247">
        <f t="shared" si="14"/>
        <v>269.20603199999999</v>
      </c>
      <c r="X247">
        <f t="shared" si="12"/>
        <v>2.2464559999999998</v>
      </c>
      <c r="Y247">
        <f t="shared" si="13"/>
        <v>271.45248800000002</v>
      </c>
    </row>
    <row r="248" spans="1:25" x14ac:dyDescent="0.35">
      <c r="A248" t="s">
        <v>0</v>
      </c>
      <c r="B248" s="1">
        <v>0.60668981481481477</v>
      </c>
      <c r="C248" s="2">
        <v>771424</v>
      </c>
      <c r="D248" s="2">
        <v>525568</v>
      </c>
      <c r="E248" s="2">
        <v>1296992</v>
      </c>
      <c r="W248">
        <f t="shared" si="14"/>
        <v>0.771424</v>
      </c>
      <c r="X248">
        <f t="shared" si="12"/>
        <v>0.52556800000000004</v>
      </c>
      <c r="Y248">
        <f t="shared" si="13"/>
        <v>1.2969919999999999</v>
      </c>
    </row>
    <row r="249" spans="1:25" x14ac:dyDescent="0.35">
      <c r="A249" t="s">
        <v>0</v>
      </c>
      <c r="B249" s="1">
        <v>0.60738425925925921</v>
      </c>
      <c r="C249" s="2">
        <v>253408736</v>
      </c>
      <c r="D249" s="2">
        <v>2163312</v>
      </c>
      <c r="E249" s="2">
        <v>255572048</v>
      </c>
      <c r="W249">
        <f t="shared" si="14"/>
        <v>253.408736</v>
      </c>
      <c r="X249">
        <f t="shared" si="12"/>
        <v>2.1633119999999999</v>
      </c>
      <c r="Y249">
        <f t="shared" si="13"/>
        <v>255.572048</v>
      </c>
    </row>
    <row r="250" spans="1:25" x14ac:dyDescent="0.35">
      <c r="A250" t="s">
        <v>0</v>
      </c>
      <c r="B250" s="1">
        <v>0.60807870370370365</v>
      </c>
      <c r="C250" s="2">
        <v>114693848</v>
      </c>
      <c r="D250" s="2">
        <v>1339232</v>
      </c>
      <c r="E250" s="2">
        <v>116033080</v>
      </c>
      <c r="W250">
        <f t="shared" si="14"/>
        <v>114.693848</v>
      </c>
      <c r="X250">
        <f t="shared" si="12"/>
        <v>1.339232</v>
      </c>
      <c r="Y250">
        <f t="shared" si="13"/>
        <v>116.03308</v>
      </c>
    </row>
    <row r="251" spans="1:25" x14ac:dyDescent="0.35">
      <c r="A251" t="s">
        <v>0</v>
      </c>
      <c r="B251" s="1">
        <v>0.6087731481481482</v>
      </c>
      <c r="C251" s="2">
        <v>263627544</v>
      </c>
      <c r="D251" s="2">
        <v>2488472</v>
      </c>
      <c r="E251" s="2">
        <v>266116016</v>
      </c>
      <c r="W251">
        <f t="shared" si="14"/>
        <v>263.627544</v>
      </c>
      <c r="X251">
        <f t="shared" si="12"/>
        <v>2.4884719999999998</v>
      </c>
      <c r="Y251">
        <f t="shared" si="13"/>
        <v>266.116016</v>
      </c>
    </row>
    <row r="252" spans="1:25" x14ac:dyDescent="0.35">
      <c r="A252" t="s">
        <v>0</v>
      </c>
      <c r="B252" s="1">
        <v>0.60946759259259264</v>
      </c>
      <c r="C252" s="2">
        <v>437601280</v>
      </c>
      <c r="D252" s="2">
        <v>2945632</v>
      </c>
      <c r="E252" s="2">
        <v>440546912</v>
      </c>
      <c r="W252">
        <f t="shared" si="14"/>
        <v>437.60127999999997</v>
      </c>
      <c r="X252">
        <f t="shared" si="12"/>
        <v>2.9456319999999998</v>
      </c>
      <c r="Y252">
        <f t="shared" si="13"/>
        <v>440.54691200000002</v>
      </c>
    </row>
    <row r="253" spans="1:25" x14ac:dyDescent="0.35">
      <c r="A253" t="s">
        <v>0</v>
      </c>
      <c r="B253" s="1">
        <v>0.61016203703703709</v>
      </c>
      <c r="C253" s="2">
        <v>143890120</v>
      </c>
      <c r="D253" s="2">
        <v>1238896</v>
      </c>
      <c r="E253" s="2">
        <v>145129016</v>
      </c>
      <c r="W253">
        <f t="shared" si="14"/>
        <v>143.89012</v>
      </c>
      <c r="X253">
        <f t="shared" si="12"/>
        <v>1.238896</v>
      </c>
      <c r="Y253">
        <f t="shared" si="13"/>
        <v>145.12901600000001</v>
      </c>
    </row>
    <row r="254" spans="1:25" x14ac:dyDescent="0.35">
      <c r="A254" t="s">
        <v>0</v>
      </c>
      <c r="B254" s="1">
        <v>0.61085648148148153</v>
      </c>
      <c r="C254" s="2">
        <v>297936904</v>
      </c>
      <c r="D254" s="2">
        <v>2855792</v>
      </c>
      <c r="E254" s="2">
        <v>300792696</v>
      </c>
      <c r="W254">
        <f t="shared" si="14"/>
        <v>297.93690400000003</v>
      </c>
      <c r="X254">
        <f t="shared" si="12"/>
        <v>2.8557920000000001</v>
      </c>
      <c r="Y254">
        <f t="shared" si="13"/>
        <v>300.79269599999998</v>
      </c>
    </row>
    <row r="255" spans="1:25" x14ac:dyDescent="0.35">
      <c r="A255" t="s">
        <v>0</v>
      </c>
      <c r="B255" s="1">
        <v>0.61155092592592597</v>
      </c>
      <c r="C255" s="2">
        <v>228887656</v>
      </c>
      <c r="D255" s="2">
        <v>2155160</v>
      </c>
      <c r="E255" s="2">
        <v>231042816</v>
      </c>
      <c r="W255">
        <f t="shared" si="14"/>
        <v>228.88765599999999</v>
      </c>
      <c r="X255">
        <f t="shared" si="12"/>
        <v>2.15516</v>
      </c>
      <c r="Y255">
        <f t="shared" si="13"/>
        <v>231.04281599999999</v>
      </c>
    </row>
    <row r="256" spans="1:25" x14ac:dyDescent="0.35">
      <c r="A256" t="s">
        <v>0</v>
      </c>
      <c r="B256" s="1">
        <v>0.61225694444444445</v>
      </c>
      <c r="C256" s="2">
        <v>49451992</v>
      </c>
      <c r="D256" s="2">
        <v>3704128</v>
      </c>
      <c r="E256" s="2">
        <v>53156120</v>
      </c>
      <c r="W256">
        <f t="shared" si="14"/>
        <v>49.451991999999997</v>
      </c>
      <c r="X256">
        <f t="shared" si="12"/>
        <v>3.7041279999999999</v>
      </c>
      <c r="Y256">
        <f t="shared" si="13"/>
        <v>53.156120000000001</v>
      </c>
    </row>
    <row r="257" spans="1:25" x14ac:dyDescent="0.35">
      <c r="A257" t="s">
        <v>0</v>
      </c>
      <c r="B257" s="1">
        <v>0.61295138888888889</v>
      </c>
      <c r="C257" s="2">
        <v>27771312</v>
      </c>
      <c r="D257" s="2">
        <v>1230672</v>
      </c>
      <c r="E257" s="2">
        <v>29001984</v>
      </c>
      <c r="W257">
        <f t="shared" si="14"/>
        <v>27.771312000000002</v>
      </c>
      <c r="X257">
        <f t="shared" si="12"/>
        <v>1.230672</v>
      </c>
      <c r="Y257">
        <f t="shared" si="13"/>
        <v>29.001984</v>
      </c>
    </row>
    <row r="258" spans="1:25" x14ac:dyDescent="0.35">
      <c r="A258" t="s">
        <v>0</v>
      </c>
      <c r="B258" s="1">
        <v>0.61364583333333333</v>
      </c>
      <c r="C258" s="2">
        <v>57774024</v>
      </c>
      <c r="D258" s="2">
        <v>2525680</v>
      </c>
      <c r="E258" s="2">
        <v>60299704</v>
      </c>
      <c r="W258">
        <f t="shared" si="14"/>
        <v>57.774023999999997</v>
      </c>
      <c r="X258">
        <f t="shared" ref="X258:X321" si="15">D258/1000000</f>
        <v>2.5256799999999999</v>
      </c>
      <c r="Y258">
        <f t="shared" ref="Y258:Y321" si="16">E258/1000000</f>
        <v>60.299703999999998</v>
      </c>
    </row>
    <row r="259" spans="1:25" x14ac:dyDescent="0.35">
      <c r="A259" t="s">
        <v>0</v>
      </c>
      <c r="B259" s="1">
        <v>0.61434027777777778</v>
      </c>
      <c r="C259" s="2">
        <v>115681560</v>
      </c>
      <c r="D259" s="2">
        <v>5568656</v>
      </c>
      <c r="E259" s="2">
        <v>121250216</v>
      </c>
      <c r="W259">
        <f t="shared" ref="W259:W322" si="17">C259/1000000</f>
        <v>115.68156</v>
      </c>
      <c r="X259">
        <f t="shared" si="15"/>
        <v>5.5686559999999998</v>
      </c>
      <c r="Y259">
        <f t="shared" si="16"/>
        <v>121.25021599999999</v>
      </c>
    </row>
    <row r="260" spans="1:25" x14ac:dyDescent="0.35">
      <c r="A260" t="s">
        <v>0</v>
      </c>
      <c r="B260" s="1">
        <v>0.61503472222222222</v>
      </c>
      <c r="C260" s="2">
        <v>392300600</v>
      </c>
      <c r="D260" s="2">
        <v>3312048</v>
      </c>
      <c r="E260" s="2">
        <v>395612648</v>
      </c>
      <c r="W260">
        <f t="shared" si="17"/>
        <v>392.30059999999997</v>
      </c>
      <c r="X260">
        <f t="shared" si="15"/>
        <v>3.3120479999999999</v>
      </c>
      <c r="Y260">
        <f t="shared" si="16"/>
        <v>395.61264799999998</v>
      </c>
    </row>
    <row r="261" spans="1:25" x14ac:dyDescent="0.35">
      <c r="A261" t="s">
        <v>0</v>
      </c>
      <c r="B261" s="1">
        <v>0.61572916666666666</v>
      </c>
      <c r="C261" s="2">
        <v>299318592</v>
      </c>
      <c r="D261" s="2">
        <v>5679520</v>
      </c>
      <c r="E261" s="2">
        <v>304998112</v>
      </c>
      <c r="W261">
        <f t="shared" si="17"/>
        <v>299.31859200000002</v>
      </c>
      <c r="X261">
        <f t="shared" si="15"/>
        <v>5.6795200000000001</v>
      </c>
      <c r="Y261">
        <f t="shared" si="16"/>
        <v>304.99811199999999</v>
      </c>
    </row>
    <row r="262" spans="1:25" x14ac:dyDescent="0.35">
      <c r="A262" t="s">
        <v>0</v>
      </c>
      <c r="B262" s="1">
        <v>0.6164236111111111</v>
      </c>
      <c r="C262" s="2">
        <v>84370928</v>
      </c>
      <c r="D262" s="2">
        <v>7436184</v>
      </c>
      <c r="E262" s="2">
        <v>91807112</v>
      </c>
      <c r="W262">
        <f t="shared" si="17"/>
        <v>84.370928000000006</v>
      </c>
      <c r="X262">
        <f t="shared" si="15"/>
        <v>7.4361839999999999</v>
      </c>
      <c r="Y262">
        <f t="shared" si="16"/>
        <v>91.807112000000004</v>
      </c>
    </row>
    <row r="263" spans="1:25" x14ac:dyDescent="0.35">
      <c r="A263" t="s">
        <v>0</v>
      </c>
      <c r="B263" s="1">
        <v>0.61711805555555554</v>
      </c>
      <c r="C263" s="2">
        <v>3116280</v>
      </c>
      <c r="D263" s="2">
        <v>3168464</v>
      </c>
      <c r="E263" s="2">
        <v>6284744</v>
      </c>
      <c r="W263">
        <f t="shared" si="17"/>
        <v>3.1162800000000002</v>
      </c>
      <c r="X263">
        <f t="shared" si="15"/>
        <v>3.1684640000000002</v>
      </c>
      <c r="Y263">
        <f t="shared" si="16"/>
        <v>6.2847439999999999</v>
      </c>
    </row>
    <row r="264" spans="1:25" x14ac:dyDescent="0.35">
      <c r="A264" t="s">
        <v>0</v>
      </c>
      <c r="B264" s="1">
        <v>0.61782407407407403</v>
      </c>
      <c r="C264" s="2">
        <v>456080328</v>
      </c>
      <c r="D264" s="2">
        <v>3870768</v>
      </c>
      <c r="E264" s="2">
        <v>459951096</v>
      </c>
      <c r="W264">
        <f t="shared" si="17"/>
        <v>456.08032800000001</v>
      </c>
      <c r="X264">
        <f t="shared" si="15"/>
        <v>3.870768</v>
      </c>
      <c r="Y264">
        <f t="shared" si="16"/>
        <v>459.95109600000001</v>
      </c>
    </row>
    <row r="265" spans="1:25" x14ac:dyDescent="0.35">
      <c r="A265" t="s">
        <v>0</v>
      </c>
      <c r="B265" s="1">
        <v>0.61851851851851847</v>
      </c>
      <c r="C265" s="2">
        <v>175723888</v>
      </c>
      <c r="D265" s="2">
        <v>1885136</v>
      </c>
      <c r="E265" s="2">
        <v>177609024</v>
      </c>
      <c r="W265">
        <f t="shared" si="17"/>
        <v>175.72388799999999</v>
      </c>
      <c r="X265">
        <f t="shared" si="15"/>
        <v>1.8851359999999999</v>
      </c>
      <c r="Y265">
        <f t="shared" si="16"/>
        <v>177.60902400000001</v>
      </c>
    </row>
    <row r="266" spans="1:25" x14ac:dyDescent="0.35">
      <c r="A266" t="s">
        <v>0</v>
      </c>
      <c r="B266" s="1">
        <v>0.61921296296296291</v>
      </c>
      <c r="C266" s="2">
        <v>393000368</v>
      </c>
      <c r="D266" s="2">
        <v>2472336</v>
      </c>
      <c r="E266" s="2">
        <v>395472704</v>
      </c>
      <c r="W266">
        <f t="shared" si="17"/>
        <v>393.00036799999998</v>
      </c>
      <c r="X266">
        <f t="shared" si="15"/>
        <v>2.4723359999999999</v>
      </c>
      <c r="Y266">
        <f t="shared" si="16"/>
        <v>395.47270400000002</v>
      </c>
    </row>
    <row r="267" spans="1:25" x14ac:dyDescent="0.35">
      <c r="A267" t="s">
        <v>0</v>
      </c>
      <c r="B267" s="1">
        <v>0.61990740740740746</v>
      </c>
      <c r="C267" s="2">
        <v>277874328</v>
      </c>
      <c r="D267" s="2">
        <v>2906720</v>
      </c>
      <c r="E267" s="2">
        <v>280781048</v>
      </c>
      <c r="W267">
        <f t="shared" si="17"/>
        <v>277.87432799999999</v>
      </c>
      <c r="X267">
        <f t="shared" si="15"/>
        <v>2.90672</v>
      </c>
      <c r="Y267">
        <f t="shared" si="16"/>
        <v>280.781048</v>
      </c>
    </row>
    <row r="268" spans="1:25" x14ac:dyDescent="0.35">
      <c r="A268" t="s">
        <v>0</v>
      </c>
      <c r="B268" s="1">
        <v>0.6206018518518519</v>
      </c>
      <c r="C268" s="2">
        <v>149453344</v>
      </c>
      <c r="D268" s="2">
        <v>2161472</v>
      </c>
      <c r="E268" s="2">
        <v>151614816</v>
      </c>
      <c r="W268">
        <f t="shared" si="17"/>
        <v>149.45334399999999</v>
      </c>
      <c r="X268">
        <f t="shared" si="15"/>
        <v>2.1614719999999998</v>
      </c>
      <c r="Y268">
        <f t="shared" si="16"/>
        <v>151.61481599999999</v>
      </c>
    </row>
    <row r="269" spans="1:25" x14ac:dyDescent="0.35">
      <c r="A269" t="s">
        <v>0</v>
      </c>
      <c r="B269" s="1">
        <v>0.62129629629629635</v>
      </c>
      <c r="C269" s="2">
        <v>16747072</v>
      </c>
      <c r="D269" s="2">
        <v>2012376</v>
      </c>
      <c r="E269" s="2">
        <v>18759448</v>
      </c>
      <c r="W269">
        <f t="shared" si="17"/>
        <v>16.747071999999999</v>
      </c>
      <c r="X269">
        <f t="shared" si="15"/>
        <v>2.0123760000000002</v>
      </c>
      <c r="Y269">
        <f t="shared" si="16"/>
        <v>18.759447999999999</v>
      </c>
    </row>
    <row r="270" spans="1:25" x14ac:dyDescent="0.35">
      <c r="A270" t="s">
        <v>0</v>
      </c>
      <c r="B270" s="1">
        <v>0.62199074074074079</v>
      </c>
      <c r="C270" s="2">
        <v>12451456</v>
      </c>
      <c r="D270" s="2">
        <v>2096264</v>
      </c>
      <c r="E270" s="2">
        <v>14547720</v>
      </c>
      <c r="W270">
        <f t="shared" si="17"/>
        <v>12.451456</v>
      </c>
      <c r="X270">
        <f t="shared" si="15"/>
        <v>2.0962640000000001</v>
      </c>
      <c r="Y270">
        <f t="shared" si="16"/>
        <v>14.54772</v>
      </c>
    </row>
    <row r="271" spans="1:25" x14ac:dyDescent="0.35">
      <c r="A271" t="s">
        <v>0</v>
      </c>
      <c r="B271" s="1">
        <v>0.62268518518518523</v>
      </c>
      <c r="C271" s="2">
        <v>161230288</v>
      </c>
      <c r="D271" s="2">
        <v>2067360</v>
      </c>
      <c r="E271" s="2">
        <v>163297648</v>
      </c>
      <c r="W271">
        <f t="shared" si="17"/>
        <v>161.230288</v>
      </c>
      <c r="X271">
        <f t="shared" si="15"/>
        <v>2.0673599999999999</v>
      </c>
      <c r="Y271">
        <f t="shared" si="16"/>
        <v>163.29764800000001</v>
      </c>
    </row>
    <row r="272" spans="1:25" x14ac:dyDescent="0.35">
      <c r="A272" t="s">
        <v>0</v>
      </c>
      <c r="B272" s="1">
        <v>0.62339120370370371</v>
      </c>
      <c r="C272" s="2">
        <v>55389832</v>
      </c>
      <c r="D272" s="2">
        <v>1310432</v>
      </c>
      <c r="E272" s="2">
        <v>56700264</v>
      </c>
      <c r="W272">
        <f t="shared" si="17"/>
        <v>55.389831999999998</v>
      </c>
      <c r="X272">
        <f t="shared" si="15"/>
        <v>1.310432</v>
      </c>
      <c r="Y272">
        <f t="shared" si="16"/>
        <v>56.700263999999997</v>
      </c>
    </row>
    <row r="273" spans="1:25" x14ac:dyDescent="0.35">
      <c r="A273" t="s">
        <v>0</v>
      </c>
      <c r="B273" s="1">
        <v>0.62408564814814815</v>
      </c>
      <c r="C273" s="2">
        <v>993640</v>
      </c>
      <c r="D273" s="2">
        <v>708584</v>
      </c>
      <c r="E273" s="2">
        <v>1702224</v>
      </c>
      <c r="W273">
        <f t="shared" si="17"/>
        <v>0.99363999999999997</v>
      </c>
      <c r="X273">
        <f t="shared" si="15"/>
        <v>0.70858399999999999</v>
      </c>
      <c r="Y273">
        <f t="shared" si="16"/>
        <v>1.702224</v>
      </c>
    </row>
    <row r="274" spans="1:25" x14ac:dyDescent="0.35">
      <c r="A274" t="s">
        <v>0</v>
      </c>
      <c r="B274" s="1">
        <v>0.6247800925925926</v>
      </c>
      <c r="C274" s="2">
        <v>5684272</v>
      </c>
      <c r="D274" s="2">
        <v>2790864</v>
      </c>
      <c r="E274" s="2">
        <v>8475136</v>
      </c>
      <c r="W274">
        <f t="shared" si="17"/>
        <v>5.684272</v>
      </c>
      <c r="X274">
        <f t="shared" si="15"/>
        <v>2.790864</v>
      </c>
      <c r="Y274">
        <f t="shared" si="16"/>
        <v>8.4751359999999991</v>
      </c>
    </row>
    <row r="275" spans="1:25" x14ac:dyDescent="0.35">
      <c r="A275" t="s">
        <v>0</v>
      </c>
      <c r="B275" s="1">
        <v>0.62547453703703704</v>
      </c>
      <c r="C275" s="2">
        <v>30084832</v>
      </c>
      <c r="D275" s="2">
        <v>12234816</v>
      </c>
      <c r="E275" s="2">
        <v>42319648</v>
      </c>
      <c r="W275">
        <f t="shared" si="17"/>
        <v>30.084831999999999</v>
      </c>
      <c r="X275">
        <f t="shared" si="15"/>
        <v>12.234816</v>
      </c>
      <c r="Y275">
        <f t="shared" si="16"/>
        <v>42.319648000000001</v>
      </c>
    </row>
    <row r="276" spans="1:25" x14ac:dyDescent="0.35">
      <c r="A276" t="s">
        <v>0</v>
      </c>
      <c r="B276" s="1">
        <v>0.62616898148148148</v>
      </c>
      <c r="C276" s="2">
        <v>174097160</v>
      </c>
      <c r="D276" s="2">
        <v>2013920</v>
      </c>
      <c r="E276" s="2">
        <v>176111080</v>
      </c>
      <c r="W276">
        <f t="shared" si="17"/>
        <v>174.09716</v>
      </c>
      <c r="X276">
        <f t="shared" si="15"/>
        <v>2.0139200000000002</v>
      </c>
      <c r="Y276">
        <f t="shared" si="16"/>
        <v>176.11107999999999</v>
      </c>
    </row>
    <row r="277" spans="1:25" x14ac:dyDescent="0.35">
      <c r="A277" t="s">
        <v>0</v>
      </c>
      <c r="B277" s="1">
        <v>0.62686342592592592</v>
      </c>
      <c r="C277" s="2">
        <v>291474384</v>
      </c>
      <c r="D277" s="2">
        <v>2558672</v>
      </c>
      <c r="E277" s="2">
        <v>294033056</v>
      </c>
      <c r="W277">
        <f t="shared" si="17"/>
        <v>291.47438399999999</v>
      </c>
      <c r="X277">
        <f t="shared" si="15"/>
        <v>2.5586720000000001</v>
      </c>
      <c r="Y277">
        <f t="shared" si="16"/>
        <v>294.03305599999999</v>
      </c>
    </row>
    <row r="278" spans="1:25" x14ac:dyDescent="0.35">
      <c r="A278" t="s">
        <v>0</v>
      </c>
      <c r="B278" s="1">
        <v>0.62755787037037036</v>
      </c>
      <c r="C278" s="2">
        <v>429795056</v>
      </c>
      <c r="D278" s="2">
        <v>3216848</v>
      </c>
      <c r="E278" s="2">
        <v>433011904</v>
      </c>
      <c r="W278">
        <f t="shared" si="17"/>
        <v>429.79505599999999</v>
      </c>
      <c r="X278">
        <f t="shared" si="15"/>
        <v>3.2168480000000002</v>
      </c>
      <c r="Y278">
        <f t="shared" si="16"/>
        <v>433.01190400000002</v>
      </c>
    </row>
    <row r="279" spans="1:25" x14ac:dyDescent="0.35">
      <c r="A279" t="s">
        <v>0</v>
      </c>
      <c r="B279" s="1">
        <v>0.62825231481481481</v>
      </c>
      <c r="C279" s="2">
        <v>292869840</v>
      </c>
      <c r="D279" s="2">
        <v>2518872</v>
      </c>
      <c r="E279" s="2">
        <v>295388712</v>
      </c>
      <c r="W279">
        <f t="shared" si="17"/>
        <v>292.86984000000001</v>
      </c>
      <c r="X279">
        <f t="shared" si="15"/>
        <v>2.518872</v>
      </c>
      <c r="Y279">
        <f t="shared" si="16"/>
        <v>295.388712</v>
      </c>
    </row>
    <row r="280" spans="1:25" x14ac:dyDescent="0.35">
      <c r="A280" t="s">
        <v>0</v>
      </c>
      <c r="B280" s="1">
        <v>0.62895833333333329</v>
      </c>
      <c r="C280" s="2">
        <v>259925448</v>
      </c>
      <c r="D280" s="2">
        <v>2297072</v>
      </c>
      <c r="E280" s="2">
        <v>262222520</v>
      </c>
      <c r="W280">
        <f t="shared" si="17"/>
        <v>259.92544800000002</v>
      </c>
      <c r="X280">
        <f t="shared" si="15"/>
        <v>2.297072</v>
      </c>
      <c r="Y280">
        <f t="shared" si="16"/>
        <v>262.22251999999997</v>
      </c>
    </row>
    <row r="281" spans="1:25" x14ac:dyDescent="0.35">
      <c r="A281" t="s">
        <v>0</v>
      </c>
      <c r="B281" s="1">
        <v>0.62965277777777773</v>
      </c>
      <c r="C281" s="2">
        <v>300290832</v>
      </c>
      <c r="D281" s="2">
        <v>1841312</v>
      </c>
      <c r="E281" s="2">
        <v>302132144</v>
      </c>
      <c r="W281">
        <f t="shared" si="17"/>
        <v>300.29083200000002</v>
      </c>
      <c r="X281">
        <f t="shared" si="15"/>
        <v>1.8413120000000001</v>
      </c>
      <c r="Y281">
        <f t="shared" si="16"/>
        <v>302.13214399999998</v>
      </c>
    </row>
    <row r="282" spans="1:25" x14ac:dyDescent="0.35">
      <c r="A282" t="s">
        <v>0</v>
      </c>
      <c r="B282" s="1">
        <v>0.63034722222222217</v>
      </c>
      <c r="C282" s="2">
        <v>50317968</v>
      </c>
      <c r="D282" s="2">
        <v>1474776</v>
      </c>
      <c r="E282" s="2">
        <v>51792744</v>
      </c>
      <c r="W282">
        <f t="shared" si="17"/>
        <v>50.317968</v>
      </c>
      <c r="X282">
        <f t="shared" si="15"/>
        <v>1.4747760000000001</v>
      </c>
      <c r="Y282">
        <f t="shared" si="16"/>
        <v>51.792743999999999</v>
      </c>
    </row>
    <row r="283" spans="1:25" x14ac:dyDescent="0.35">
      <c r="A283" t="s">
        <v>0</v>
      </c>
      <c r="B283" s="1">
        <v>0.63104166666666661</v>
      </c>
      <c r="C283" s="2">
        <v>299220488</v>
      </c>
      <c r="D283" s="2">
        <v>2319144</v>
      </c>
      <c r="E283" s="2">
        <v>301539632</v>
      </c>
      <c r="W283">
        <f t="shared" si="17"/>
        <v>299.22048799999999</v>
      </c>
      <c r="X283">
        <f t="shared" si="15"/>
        <v>2.3191440000000001</v>
      </c>
      <c r="Y283">
        <f t="shared" si="16"/>
        <v>301.53963199999998</v>
      </c>
    </row>
    <row r="284" spans="1:25" x14ac:dyDescent="0.35">
      <c r="A284" t="s">
        <v>0</v>
      </c>
      <c r="B284" s="1">
        <v>0.63173611111111116</v>
      </c>
      <c r="C284" s="2">
        <v>292077536</v>
      </c>
      <c r="D284" s="2">
        <v>2445040</v>
      </c>
      <c r="E284" s="2">
        <v>294522576</v>
      </c>
      <c r="W284">
        <f t="shared" si="17"/>
        <v>292.07753600000001</v>
      </c>
      <c r="X284">
        <f t="shared" si="15"/>
        <v>2.4450400000000001</v>
      </c>
      <c r="Y284">
        <f t="shared" si="16"/>
        <v>294.52257600000002</v>
      </c>
    </row>
    <row r="285" spans="1:25" x14ac:dyDescent="0.35">
      <c r="A285" t="s">
        <v>0</v>
      </c>
      <c r="B285" s="1">
        <v>0.63243055555555561</v>
      </c>
      <c r="C285" s="2">
        <v>352740808</v>
      </c>
      <c r="D285" s="2">
        <v>3010432</v>
      </c>
      <c r="E285" s="2">
        <v>355751240</v>
      </c>
      <c r="W285">
        <f t="shared" si="17"/>
        <v>352.74080800000002</v>
      </c>
      <c r="X285">
        <f t="shared" si="15"/>
        <v>3.0104320000000002</v>
      </c>
      <c r="Y285">
        <f t="shared" si="16"/>
        <v>355.75124</v>
      </c>
    </row>
    <row r="286" spans="1:25" x14ac:dyDescent="0.35">
      <c r="A286" t="s">
        <v>0</v>
      </c>
      <c r="B286" s="1">
        <v>0.63312500000000005</v>
      </c>
      <c r="C286" s="2">
        <v>375749720</v>
      </c>
      <c r="D286" s="2">
        <v>2992808</v>
      </c>
      <c r="E286" s="2">
        <v>378742528</v>
      </c>
      <c r="W286">
        <f t="shared" si="17"/>
        <v>375.74972000000002</v>
      </c>
      <c r="X286">
        <f t="shared" si="15"/>
        <v>2.9928080000000001</v>
      </c>
      <c r="Y286">
        <f t="shared" si="16"/>
        <v>378.74252799999999</v>
      </c>
    </row>
    <row r="287" spans="1:25" x14ac:dyDescent="0.35">
      <c r="A287" t="s">
        <v>0</v>
      </c>
      <c r="B287" s="1">
        <v>0.63381944444444449</v>
      </c>
      <c r="C287" s="2">
        <v>300048152</v>
      </c>
      <c r="D287" s="2">
        <v>3032048</v>
      </c>
      <c r="E287" s="2">
        <v>303080200</v>
      </c>
      <c r="W287">
        <f t="shared" si="17"/>
        <v>300.04815200000002</v>
      </c>
      <c r="X287">
        <f t="shared" si="15"/>
        <v>3.0320480000000001</v>
      </c>
      <c r="Y287">
        <f t="shared" si="16"/>
        <v>303.08019999999999</v>
      </c>
    </row>
    <row r="288" spans="1:25" x14ac:dyDescent="0.35">
      <c r="A288" t="s">
        <v>0</v>
      </c>
      <c r="B288" s="1">
        <v>0.63452546296296297</v>
      </c>
      <c r="C288" s="2">
        <v>287158784</v>
      </c>
      <c r="D288" s="2">
        <v>3917832</v>
      </c>
      <c r="E288" s="2">
        <v>291076616</v>
      </c>
      <c r="W288">
        <f t="shared" si="17"/>
        <v>287.15878400000003</v>
      </c>
      <c r="X288">
        <f t="shared" si="15"/>
        <v>3.9178320000000002</v>
      </c>
      <c r="Y288">
        <f t="shared" si="16"/>
        <v>291.076616</v>
      </c>
    </row>
    <row r="289" spans="1:25" x14ac:dyDescent="0.35">
      <c r="A289" t="s">
        <v>0</v>
      </c>
      <c r="B289" s="1">
        <v>0.63521990740740741</v>
      </c>
      <c r="C289" s="2">
        <v>45191024</v>
      </c>
      <c r="D289" s="2">
        <v>1403680</v>
      </c>
      <c r="E289" s="2">
        <v>46594704</v>
      </c>
      <c r="W289">
        <f t="shared" si="17"/>
        <v>45.191023999999999</v>
      </c>
      <c r="X289">
        <f t="shared" si="15"/>
        <v>1.40368</v>
      </c>
      <c r="Y289">
        <f t="shared" si="16"/>
        <v>46.594704</v>
      </c>
    </row>
    <row r="290" spans="1:25" x14ac:dyDescent="0.35">
      <c r="A290" t="s">
        <v>0</v>
      </c>
      <c r="B290" s="1">
        <v>0.63591435185185186</v>
      </c>
      <c r="C290" s="2">
        <v>46091664</v>
      </c>
      <c r="D290" s="2">
        <v>2183952</v>
      </c>
      <c r="E290" s="2">
        <v>48275616</v>
      </c>
      <c r="W290">
        <f t="shared" si="17"/>
        <v>46.091664000000002</v>
      </c>
      <c r="X290">
        <f t="shared" si="15"/>
        <v>2.1839520000000001</v>
      </c>
      <c r="Y290">
        <f t="shared" si="16"/>
        <v>48.275615999999999</v>
      </c>
    </row>
    <row r="291" spans="1:25" x14ac:dyDescent="0.35">
      <c r="A291" t="s">
        <v>0</v>
      </c>
      <c r="B291" s="1">
        <v>0.6366087962962963</v>
      </c>
      <c r="C291" s="2">
        <v>29169216</v>
      </c>
      <c r="D291" s="2">
        <v>1299016</v>
      </c>
      <c r="E291" s="2">
        <v>30468232</v>
      </c>
      <c r="W291">
        <f t="shared" si="17"/>
        <v>29.169215999999999</v>
      </c>
      <c r="X291">
        <f t="shared" si="15"/>
        <v>1.2990159999999999</v>
      </c>
      <c r="Y291">
        <f t="shared" si="16"/>
        <v>30.468232</v>
      </c>
    </row>
    <row r="292" spans="1:25" x14ac:dyDescent="0.35">
      <c r="A292" t="s">
        <v>0</v>
      </c>
      <c r="B292" s="1">
        <v>0.63730324074074074</v>
      </c>
      <c r="C292" s="2">
        <v>129218824</v>
      </c>
      <c r="D292" s="2">
        <v>1564752</v>
      </c>
      <c r="E292" s="2">
        <v>130783576</v>
      </c>
      <c r="W292">
        <f t="shared" si="17"/>
        <v>129.21882400000001</v>
      </c>
      <c r="X292">
        <f t="shared" si="15"/>
        <v>1.5647519999999999</v>
      </c>
      <c r="Y292">
        <f t="shared" si="16"/>
        <v>130.78357600000001</v>
      </c>
    </row>
    <row r="293" spans="1:25" x14ac:dyDescent="0.35">
      <c r="A293" t="s">
        <v>0</v>
      </c>
      <c r="B293" s="1">
        <v>0.63799768518518518</v>
      </c>
      <c r="C293" s="2">
        <v>423948728</v>
      </c>
      <c r="D293" s="2">
        <v>2563536</v>
      </c>
      <c r="E293" s="2">
        <v>426512264</v>
      </c>
      <c r="W293">
        <f t="shared" si="17"/>
        <v>423.94872800000002</v>
      </c>
      <c r="X293">
        <f t="shared" si="15"/>
        <v>2.563536</v>
      </c>
      <c r="Y293">
        <f t="shared" si="16"/>
        <v>426.51226400000002</v>
      </c>
    </row>
    <row r="294" spans="1:25" x14ac:dyDescent="0.35">
      <c r="A294" t="s">
        <v>0</v>
      </c>
      <c r="B294" s="1">
        <v>0.63869212962962962</v>
      </c>
      <c r="C294" s="2">
        <v>225267624</v>
      </c>
      <c r="D294" s="2">
        <v>2846248</v>
      </c>
      <c r="E294" s="2">
        <v>228113872</v>
      </c>
      <c r="W294">
        <f t="shared" si="17"/>
        <v>225.26762400000001</v>
      </c>
      <c r="X294">
        <f t="shared" si="15"/>
        <v>2.8462480000000001</v>
      </c>
      <c r="Y294">
        <f t="shared" si="16"/>
        <v>228.11387199999999</v>
      </c>
    </row>
    <row r="295" spans="1:25" x14ac:dyDescent="0.35">
      <c r="A295" t="s">
        <v>0</v>
      </c>
      <c r="B295" s="1">
        <v>0.63938657407407407</v>
      </c>
      <c r="C295" s="2">
        <v>427298016</v>
      </c>
      <c r="D295" s="2">
        <v>3265312</v>
      </c>
      <c r="E295" s="2">
        <v>430563328</v>
      </c>
      <c r="W295">
        <f t="shared" si="17"/>
        <v>427.29801600000002</v>
      </c>
      <c r="X295">
        <f t="shared" si="15"/>
        <v>3.2653120000000002</v>
      </c>
      <c r="Y295">
        <f t="shared" si="16"/>
        <v>430.56332800000001</v>
      </c>
    </row>
    <row r="296" spans="1:25" x14ac:dyDescent="0.35">
      <c r="A296" t="s">
        <v>0</v>
      </c>
      <c r="B296" s="1">
        <v>0.64009259259259255</v>
      </c>
      <c r="C296" s="2">
        <v>223879880</v>
      </c>
      <c r="D296" s="2">
        <v>1955768</v>
      </c>
      <c r="E296" s="2">
        <v>225835648</v>
      </c>
      <c r="W296">
        <f t="shared" si="17"/>
        <v>223.87988000000001</v>
      </c>
      <c r="X296">
        <f t="shared" si="15"/>
        <v>1.955768</v>
      </c>
      <c r="Y296">
        <f t="shared" si="16"/>
        <v>225.83564799999999</v>
      </c>
    </row>
    <row r="297" spans="1:25" x14ac:dyDescent="0.35">
      <c r="A297" t="s">
        <v>0</v>
      </c>
      <c r="B297" s="1">
        <v>0.64078703703703699</v>
      </c>
      <c r="C297" s="2">
        <v>260085776</v>
      </c>
      <c r="D297" s="2">
        <v>2297504</v>
      </c>
      <c r="E297" s="2">
        <v>262383280</v>
      </c>
      <c r="W297">
        <f t="shared" si="17"/>
        <v>260.08577600000001</v>
      </c>
      <c r="X297">
        <f t="shared" si="15"/>
        <v>2.297504</v>
      </c>
      <c r="Y297">
        <f t="shared" si="16"/>
        <v>262.38328000000001</v>
      </c>
    </row>
    <row r="298" spans="1:25" x14ac:dyDescent="0.35">
      <c r="A298" t="s">
        <v>0</v>
      </c>
      <c r="B298" s="1">
        <v>0.64148148148148143</v>
      </c>
      <c r="C298" s="2">
        <v>437470632</v>
      </c>
      <c r="D298" s="2">
        <v>2598896</v>
      </c>
      <c r="E298" s="2">
        <v>440069528</v>
      </c>
      <c r="W298">
        <f t="shared" si="17"/>
        <v>437.47063200000002</v>
      </c>
      <c r="X298">
        <f t="shared" si="15"/>
        <v>2.5988959999999999</v>
      </c>
      <c r="Y298">
        <f t="shared" si="16"/>
        <v>440.06952799999999</v>
      </c>
    </row>
    <row r="299" spans="1:25" x14ac:dyDescent="0.35">
      <c r="A299" t="s">
        <v>0</v>
      </c>
      <c r="B299" s="1">
        <v>0.64217592592592587</v>
      </c>
      <c r="C299" s="2">
        <v>279817208</v>
      </c>
      <c r="D299" s="2">
        <v>2702880</v>
      </c>
      <c r="E299" s="2">
        <v>282520088</v>
      </c>
      <c r="W299">
        <f t="shared" si="17"/>
        <v>279.81720799999999</v>
      </c>
      <c r="X299">
        <f t="shared" si="15"/>
        <v>2.7028799999999999</v>
      </c>
      <c r="Y299">
        <f t="shared" si="16"/>
        <v>282.52008799999999</v>
      </c>
    </row>
    <row r="300" spans="1:25" x14ac:dyDescent="0.35">
      <c r="A300" t="s">
        <v>0</v>
      </c>
      <c r="B300" s="1">
        <v>0.64287037037037043</v>
      </c>
      <c r="C300" s="2">
        <v>361409792</v>
      </c>
      <c r="D300" s="2">
        <v>2556808</v>
      </c>
      <c r="E300" s="2">
        <v>363966600</v>
      </c>
      <c r="W300">
        <f t="shared" si="17"/>
        <v>361.40979199999998</v>
      </c>
      <c r="X300">
        <f t="shared" si="15"/>
        <v>2.5568080000000002</v>
      </c>
      <c r="Y300">
        <f t="shared" si="16"/>
        <v>363.96660000000003</v>
      </c>
    </row>
    <row r="301" spans="1:25" x14ac:dyDescent="0.35">
      <c r="A301" t="s">
        <v>0</v>
      </c>
      <c r="B301" s="1">
        <v>0.64356481481481487</v>
      </c>
      <c r="C301" s="2">
        <v>194202848</v>
      </c>
      <c r="D301" s="2">
        <v>1421848</v>
      </c>
      <c r="E301" s="2">
        <v>195624696</v>
      </c>
      <c r="W301">
        <f t="shared" si="17"/>
        <v>194.20284799999999</v>
      </c>
      <c r="X301">
        <f t="shared" si="15"/>
        <v>1.421848</v>
      </c>
      <c r="Y301">
        <f t="shared" si="16"/>
        <v>195.624696</v>
      </c>
    </row>
    <row r="302" spans="1:25" x14ac:dyDescent="0.35">
      <c r="A302" t="s">
        <v>0</v>
      </c>
      <c r="B302" s="1">
        <v>0.64425925925925931</v>
      </c>
      <c r="C302" s="2">
        <v>182666200</v>
      </c>
      <c r="D302" s="2">
        <v>1802560</v>
      </c>
      <c r="E302" s="2">
        <v>184468760</v>
      </c>
      <c r="W302">
        <f t="shared" si="17"/>
        <v>182.6662</v>
      </c>
      <c r="X302">
        <f t="shared" si="15"/>
        <v>1.8025599999999999</v>
      </c>
      <c r="Y302">
        <f t="shared" si="16"/>
        <v>184.46876</v>
      </c>
    </row>
    <row r="303" spans="1:25" x14ac:dyDescent="0.35">
      <c r="A303" t="s">
        <v>0</v>
      </c>
      <c r="B303" s="1">
        <v>0.64495370370370375</v>
      </c>
      <c r="C303" s="2">
        <v>71223152</v>
      </c>
      <c r="D303" s="2">
        <v>1481944</v>
      </c>
      <c r="E303" s="2">
        <v>72705096</v>
      </c>
      <c r="W303">
        <f t="shared" si="17"/>
        <v>71.223151999999999</v>
      </c>
      <c r="X303">
        <f t="shared" si="15"/>
        <v>1.4819439999999999</v>
      </c>
      <c r="Y303">
        <f t="shared" si="16"/>
        <v>72.705095999999998</v>
      </c>
    </row>
    <row r="304" spans="1:25" x14ac:dyDescent="0.35">
      <c r="A304" t="s">
        <v>0</v>
      </c>
      <c r="B304" s="1">
        <v>0.64565972222222223</v>
      </c>
      <c r="C304" s="2">
        <v>113436728</v>
      </c>
      <c r="D304" s="2">
        <v>1335128</v>
      </c>
      <c r="E304" s="2">
        <v>114771856</v>
      </c>
      <c r="W304">
        <f t="shared" si="17"/>
        <v>113.436728</v>
      </c>
      <c r="X304">
        <f t="shared" si="15"/>
        <v>1.3351280000000001</v>
      </c>
      <c r="Y304">
        <f t="shared" si="16"/>
        <v>114.771856</v>
      </c>
    </row>
    <row r="305" spans="1:25" x14ac:dyDescent="0.35">
      <c r="A305" t="s">
        <v>0</v>
      </c>
      <c r="B305" s="1">
        <v>0.64635416666666667</v>
      </c>
      <c r="C305" s="2">
        <v>430612080</v>
      </c>
      <c r="D305" s="2">
        <v>3624792</v>
      </c>
      <c r="E305" s="2">
        <v>434236872</v>
      </c>
      <c r="W305">
        <f t="shared" si="17"/>
        <v>430.61207999999999</v>
      </c>
      <c r="X305">
        <f t="shared" si="15"/>
        <v>3.6247919999999998</v>
      </c>
      <c r="Y305">
        <f t="shared" si="16"/>
        <v>434.23687200000001</v>
      </c>
    </row>
    <row r="306" spans="1:25" x14ac:dyDescent="0.35">
      <c r="A306" t="s">
        <v>0</v>
      </c>
      <c r="B306" s="1">
        <v>0.64704861111111112</v>
      </c>
      <c r="C306" s="2">
        <v>290267080</v>
      </c>
      <c r="D306" s="2">
        <v>2227768</v>
      </c>
      <c r="E306" s="2">
        <v>292494848</v>
      </c>
      <c r="W306">
        <f t="shared" si="17"/>
        <v>290.26708000000002</v>
      </c>
      <c r="X306">
        <f t="shared" si="15"/>
        <v>2.2277680000000002</v>
      </c>
      <c r="Y306">
        <f t="shared" si="16"/>
        <v>292.49484799999999</v>
      </c>
    </row>
    <row r="307" spans="1:25" x14ac:dyDescent="0.35">
      <c r="A307" t="s">
        <v>0</v>
      </c>
      <c r="B307" s="1">
        <v>0.64774305555555556</v>
      </c>
      <c r="C307" s="2">
        <v>293421264</v>
      </c>
      <c r="D307" s="2">
        <v>2723904</v>
      </c>
      <c r="E307" s="2">
        <v>296145168</v>
      </c>
      <c r="W307">
        <f t="shared" si="17"/>
        <v>293.42126400000001</v>
      </c>
      <c r="X307">
        <f t="shared" si="15"/>
        <v>2.7239040000000001</v>
      </c>
      <c r="Y307">
        <f t="shared" si="16"/>
        <v>296.14516800000001</v>
      </c>
    </row>
    <row r="308" spans="1:25" x14ac:dyDescent="0.35">
      <c r="A308" t="s">
        <v>0</v>
      </c>
      <c r="B308" s="1">
        <v>0.6484375</v>
      </c>
      <c r="C308" s="2">
        <v>365144336</v>
      </c>
      <c r="D308" s="2">
        <v>2489104</v>
      </c>
      <c r="E308" s="2">
        <v>367633440</v>
      </c>
      <c r="W308">
        <f t="shared" si="17"/>
        <v>365.14433600000001</v>
      </c>
      <c r="X308">
        <f t="shared" si="15"/>
        <v>2.4891040000000002</v>
      </c>
      <c r="Y308">
        <f t="shared" si="16"/>
        <v>367.63344000000001</v>
      </c>
    </row>
    <row r="309" spans="1:25" x14ac:dyDescent="0.35">
      <c r="A309" t="s">
        <v>0</v>
      </c>
      <c r="B309" s="1">
        <v>0.64913194444444444</v>
      </c>
      <c r="C309" s="2">
        <v>41017024</v>
      </c>
      <c r="D309" s="2">
        <v>1005496</v>
      </c>
      <c r="E309" s="2">
        <v>42022520</v>
      </c>
      <c r="W309">
        <f t="shared" si="17"/>
        <v>41.017023999999999</v>
      </c>
      <c r="X309">
        <f t="shared" si="15"/>
        <v>1.0054959999999999</v>
      </c>
      <c r="Y309">
        <f t="shared" si="16"/>
        <v>42.02252</v>
      </c>
    </row>
    <row r="310" spans="1:25" x14ac:dyDescent="0.35">
      <c r="A310" t="s">
        <v>0</v>
      </c>
      <c r="B310" s="1">
        <v>0.64982638888888888</v>
      </c>
      <c r="C310" s="2">
        <v>118813672</v>
      </c>
      <c r="D310" s="2">
        <v>2206344</v>
      </c>
      <c r="E310" s="2">
        <v>121020016</v>
      </c>
      <c r="W310">
        <f t="shared" si="17"/>
        <v>118.813672</v>
      </c>
      <c r="X310">
        <f t="shared" si="15"/>
        <v>2.2063440000000001</v>
      </c>
      <c r="Y310">
        <f t="shared" si="16"/>
        <v>121.020016</v>
      </c>
    </row>
    <row r="311" spans="1:25" x14ac:dyDescent="0.35">
      <c r="A311" t="s">
        <v>0</v>
      </c>
      <c r="B311" s="1">
        <v>0.65052083333333333</v>
      </c>
      <c r="C311" s="2">
        <v>274390464</v>
      </c>
      <c r="D311" s="2">
        <v>2492208</v>
      </c>
      <c r="E311" s="2">
        <v>276882672</v>
      </c>
      <c r="W311">
        <f t="shared" si="17"/>
        <v>274.39046400000001</v>
      </c>
      <c r="X311">
        <f t="shared" si="15"/>
        <v>2.4922080000000002</v>
      </c>
      <c r="Y311">
        <f t="shared" si="16"/>
        <v>276.88267200000001</v>
      </c>
    </row>
    <row r="312" spans="1:25" x14ac:dyDescent="0.35">
      <c r="A312" t="s">
        <v>0</v>
      </c>
      <c r="B312" s="1">
        <v>0.65122685185185181</v>
      </c>
      <c r="C312" s="2">
        <v>285955560</v>
      </c>
      <c r="D312" s="2">
        <v>2121888</v>
      </c>
      <c r="E312" s="2">
        <v>288077448</v>
      </c>
      <c r="W312">
        <f t="shared" si="17"/>
        <v>285.95555999999999</v>
      </c>
      <c r="X312">
        <f t="shared" si="15"/>
        <v>2.1218880000000002</v>
      </c>
      <c r="Y312">
        <f t="shared" si="16"/>
        <v>288.077448</v>
      </c>
    </row>
    <row r="313" spans="1:25" x14ac:dyDescent="0.35">
      <c r="A313" t="s">
        <v>0</v>
      </c>
      <c r="B313" s="1">
        <v>0.65192129629629625</v>
      </c>
      <c r="C313" s="2">
        <v>295134624</v>
      </c>
      <c r="D313" s="2">
        <v>2094984</v>
      </c>
      <c r="E313" s="2">
        <v>297229608</v>
      </c>
      <c r="W313">
        <f t="shared" si="17"/>
        <v>295.13462399999997</v>
      </c>
      <c r="X313">
        <f t="shared" si="15"/>
        <v>2.0949840000000002</v>
      </c>
      <c r="Y313">
        <f t="shared" si="16"/>
        <v>297.22960799999998</v>
      </c>
    </row>
    <row r="314" spans="1:25" x14ac:dyDescent="0.35">
      <c r="A314" t="s">
        <v>0</v>
      </c>
      <c r="B314" s="1">
        <v>0.65261574074074069</v>
      </c>
      <c r="C314" s="2">
        <v>235795992</v>
      </c>
      <c r="D314" s="2">
        <v>1888368</v>
      </c>
      <c r="E314" s="2">
        <v>237684360</v>
      </c>
      <c r="W314">
        <f t="shared" si="17"/>
        <v>235.79599200000001</v>
      </c>
      <c r="X314">
        <f t="shared" si="15"/>
        <v>1.888368</v>
      </c>
      <c r="Y314">
        <f t="shared" si="16"/>
        <v>237.68436</v>
      </c>
    </row>
    <row r="315" spans="1:25" x14ac:dyDescent="0.35">
      <c r="A315" t="s">
        <v>0</v>
      </c>
      <c r="B315" s="1">
        <v>0.65331018518518513</v>
      </c>
      <c r="C315" s="2">
        <v>372972448</v>
      </c>
      <c r="D315" s="2">
        <v>2683864</v>
      </c>
      <c r="E315" s="2">
        <v>375656312</v>
      </c>
      <c r="W315">
        <f t="shared" si="17"/>
        <v>372.97244799999999</v>
      </c>
      <c r="X315">
        <f t="shared" si="15"/>
        <v>2.6838639999999998</v>
      </c>
      <c r="Y315">
        <f t="shared" si="16"/>
        <v>375.65631200000001</v>
      </c>
    </row>
    <row r="316" spans="1:25" x14ac:dyDescent="0.35">
      <c r="A316" t="s">
        <v>0</v>
      </c>
      <c r="B316" s="1">
        <v>0.65400462962962957</v>
      </c>
      <c r="C316" s="2">
        <v>260150048</v>
      </c>
      <c r="D316" s="2">
        <v>2225784</v>
      </c>
      <c r="E316" s="2">
        <v>262375832</v>
      </c>
      <c r="W316">
        <f t="shared" si="17"/>
        <v>260.15004800000003</v>
      </c>
      <c r="X316">
        <f t="shared" si="15"/>
        <v>2.225784</v>
      </c>
      <c r="Y316">
        <f t="shared" si="16"/>
        <v>262.375832</v>
      </c>
    </row>
    <row r="317" spans="1:25" x14ac:dyDescent="0.35">
      <c r="A317" t="s">
        <v>0</v>
      </c>
      <c r="B317" s="1">
        <v>0.65469907407407413</v>
      </c>
      <c r="C317" s="2">
        <v>301466704</v>
      </c>
      <c r="D317" s="2">
        <v>2671632</v>
      </c>
      <c r="E317" s="2">
        <v>304138336</v>
      </c>
      <c r="W317">
        <f t="shared" si="17"/>
        <v>301.46670399999999</v>
      </c>
      <c r="X317">
        <f t="shared" si="15"/>
        <v>2.6716319999999998</v>
      </c>
      <c r="Y317">
        <f t="shared" si="16"/>
        <v>304.13833599999998</v>
      </c>
    </row>
    <row r="318" spans="1:25" x14ac:dyDescent="0.35">
      <c r="A318" t="s">
        <v>0</v>
      </c>
      <c r="B318" s="1">
        <v>0.65539351851851857</v>
      </c>
      <c r="C318" s="2">
        <v>383611552</v>
      </c>
      <c r="D318" s="2">
        <v>2841096</v>
      </c>
      <c r="E318" s="2">
        <v>386452648</v>
      </c>
      <c r="W318">
        <f t="shared" si="17"/>
        <v>383.61155200000002</v>
      </c>
      <c r="X318">
        <f t="shared" si="15"/>
        <v>2.8410959999999998</v>
      </c>
      <c r="Y318">
        <f t="shared" si="16"/>
        <v>386.45264800000001</v>
      </c>
    </row>
    <row r="319" spans="1:25" x14ac:dyDescent="0.35">
      <c r="A319" t="s">
        <v>0</v>
      </c>
      <c r="B319" s="1">
        <v>0.65608796296296301</v>
      </c>
      <c r="C319" s="2">
        <v>293741864</v>
      </c>
      <c r="D319" s="2">
        <v>2615216</v>
      </c>
      <c r="E319" s="2">
        <v>296357080</v>
      </c>
      <c r="W319">
        <f t="shared" si="17"/>
        <v>293.74186400000002</v>
      </c>
      <c r="X319">
        <f t="shared" si="15"/>
        <v>2.6152160000000002</v>
      </c>
      <c r="Y319">
        <f t="shared" si="16"/>
        <v>296.35708</v>
      </c>
    </row>
    <row r="320" spans="1:25" x14ac:dyDescent="0.35">
      <c r="A320" t="s">
        <v>0</v>
      </c>
      <c r="B320" s="1">
        <v>0.65679398148148149</v>
      </c>
      <c r="C320" s="2">
        <v>140019144</v>
      </c>
      <c r="D320" s="2">
        <v>1792280</v>
      </c>
      <c r="E320" s="2">
        <v>141811424</v>
      </c>
      <c r="W320">
        <f t="shared" si="17"/>
        <v>140.01914400000001</v>
      </c>
      <c r="X320">
        <f t="shared" si="15"/>
        <v>1.7922800000000001</v>
      </c>
      <c r="Y320">
        <f t="shared" si="16"/>
        <v>141.81142399999999</v>
      </c>
    </row>
    <row r="321" spans="1:25" x14ac:dyDescent="0.35">
      <c r="A321" t="s">
        <v>0</v>
      </c>
      <c r="B321" s="1">
        <v>0.65748842592592593</v>
      </c>
      <c r="C321" s="2">
        <v>29544408</v>
      </c>
      <c r="D321" s="2">
        <v>7581712</v>
      </c>
      <c r="E321" s="2">
        <v>37126120</v>
      </c>
      <c r="W321">
        <f t="shared" si="17"/>
        <v>29.544408000000001</v>
      </c>
      <c r="X321">
        <f t="shared" si="15"/>
        <v>7.5817119999999996</v>
      </c>
      <c r="Y321">
        <f t="shared" si="16"/>
        <v>37.12612</v>
      </c>
    </row>
    <row r="322" spans="1:25" x14ac:dyDescent="0.35">
      <c r="A322" t="s">
        <v>0</v>
      </c>
      <c r="B322" s="1">
        <v>0.65818287037037038</v>
      </c>
      <c r="C322" s="2">
        <v>4973760</v>
      </c>
      <c r="D322" s="2">
        <v>3107272</v>
      </c>
      <c r="E322" s="2">
        <v>8081032</v>
      </c>
      <c r="W322">
        <f t="shared" si="17"/>
        <v>4.9737600000000004</v>
      </c>
      <c r="X322">
        <f t="shared" ref="X322:X324" si="18">D322/1000000</f>
        <v>3.107272</v>
      </c>
      <c r="Y322">
        <f t="shared" ref="Y322:Y324" si="19">E322/1000000</f>
        <v>8.0810320000000004</v>
      </c>
    </row>
    <row r="323" spans="1:25" x14ac:dyDescent="0.35">
      <c r="A323" t="s">
        <v>0</v>
      </c>
      <c r="B323" s="1">
        <v>0.65887731481481482</v>
      </c>
      <c r="C323" s="2">
        <v>2389256</v>
      </c>
      <c r="D323" s="2">
        <v>1798104</v>
      </c>
      <c r="E323" s="2">
        <v>4187360</v>
      </c>
      <c r="W323">
        <f t="shared" ref="W323:W324" si="20">C323/1000000</f>
        <v>2.389256</v>
      </c>
      <c r="X323">
        <f t="shared" si="18"/>
        <v>1.7981039999999999</v>
      </c>
      <c r="Y323">
        <f t="shared" si="19"/>
        <v>4.18736</v>
      </c>
    </row>
    <row r="324" spans="1:25" x14ac:dyDescent="0.35">
      <c r="A324" t="s">
        <v>0</v>
      </c>
      <c r="B324" s="1">
        <v>0.65957175925925926</v>
      </c>
      <c r="C324" s="2">
        <v>3447824</v>
      </c>
      <c r="D324" s="2">
        <v>1619688</v>
      </c>
      <c r="E324" s="2">
        <v>5067512</v>
      </c>
      <c r="W324">
        <f t="shared" si="20"/>
        <v>3.4478240000000002</v>
      </c>
      <c r="X324">
        <f t="shared" si="18"/>
        <v>1.619688</v>
      </c>
      <c r="Y324">
        <f t="shared" si="19"/>
        <v>5.0675119999999998</v>
      </c>
    </row>
  </sheetData>
  <mergeCells count="22">
    <mergeCell ref="G150:I150"/>
    <mergeCell ref="G145:I145"/>
    <mergeCell ref="G146:I146"/>
    <mergeCell ref="G147:I147"/>
    <mergeCell ref="G148:I148"/>
    <mergeCell ref="G149:I149"/>
    <mergeCell ref="G6:I6"/>
    <mergeCell ref="G2:I2"/>
    <mergeCell ref="G3:I3"/>
    <mergeCell ref="G4:I4"/>
    <mergeCell ref="G1:I1"/>
    <mergeCell ref="G5:I5"/>
    <mergeCell ref="G19:L19"/>
    <mergeCell ref="G74:L74"/>
    <mergeCell ref="G15:I15"/>
    <mergeCell ref="G16:I16"/>
    <mergeCell ref="G7:I7"/>
    <mergeCell ref="G10:I10"/>
    <mergeCell ref="G11:I11"/>
    <mergeCell ref="G12:I12"/>
    <mergeCell ref="G13:I13"/>
    <mergeCell ref="G14:I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A3FB-1D0D-4300-9EE9-3443C22FBF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I.</dc:creator>
  <cp:lastModifiedBy>Oleg I.</cp:lastModifiedBy>
  <dcterms:created xsi:type="dcterms:W3CDTF">2026-03-17T08:12:49Z</dcterms:created>
  <dcterms:modified xsi:type="dcterms:W3CDTF">2026-03-19T08:27:57Z</dcterms:modified>
</cp:coreProperties>
</file>