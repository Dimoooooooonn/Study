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s\Programs\Study\Кибер физ\"/>
    </mc:Choice>
  </mc:AlternateContent>
  <xr:revisionPtr revIDLastSave="0" documentId="13_ncr:1_{6FC06689-FC4D-433E-8640-6DBB01B29E72}" xr6:coauthVersionLast="47" xr6:coauthVersionMax="47" xr10:uidLastSave="{00000000-0000-0000-0000-000000000000}"/>
  <bookViews>
    <workbookView xWindow="-108" yWindow="-108" windowWidth="23256" windowHeight="14160" activeTab="3" xr2:uid="{72757621-EDCF-4905-8D78-2C1F479B0F99}"/>
  </bookViews>
  <sheets>
    <sheet name="1" sheetId="1" r:id="rId1"/>
    <sheet name="2" sheetId="2" r:id="rId2"/>
    <sheet name="3" sheetId="3" r:id="rId3"/>
    <sheet name="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E2" i="2"/>
  <c r="C2" i="1"/>
  <c r="B2" i="1"/>
  <c r="F2" i="2"/>
  <c r="F2" i="4" l="1"/>
  <c r="F32" i="3"/>
  <c r="G32" i="3" s="1"/>
  <c r="F25" i="3"/>
  <c r="G25" i="3" s="1"/>
  <c r="G2" i="4"/>
  <c r="D2" i="4"/>
  <c r="C2" i="3"/>
  <c r="E39" i="3" s="1"/>
  <c r="D2" i="2"/>
  <c r="B2" i="2"/>
  <c r="A2" i="2"/>
  <c r="C2" i="2" s="1"/>
  <c r="H2" i="4" l="1"/>
  <c r="I2" i="4" s="1"/>
  <c r="E23" i="3"/>
  <c r="F31" i="3"/>
  <c r="G31" i="3" s="1"/>
  <c r="E32" i="3"/>
  <c r="E31" i="3"/>
  <c r="F15" i="3"/>
  <c r="G15" i="3" s="1"/>
  <c r="E2" i="3"/>
  <c r="E4" i="3"/>
  <c r="F18" i="3"/>
  <c r="G18" i="3" s="1"/>
  <c r="F16" i="3"/>
  <c r="G16" i="3" s="1"/>
  <c r="F14" i="3"/>
  <c r="G14" i="3" s="1"/>
  <c r="F12" i="3"/>
  <c r="G12" i="3" s="1"/>
  <c r="F9" i="3"/>
  <c r="G9" i="3" s="1"/>
  <c r="E24" i="3"/>
  <c r="F24" i="3"/>
  <c r="G24" i="3" s="1"/>
  <c r="E35" i="3"/>
  <c r="F33" i="3"/>
  <c r="G33" i="3" s="1"/>
  <c r="F23" i="3"/>
  <c r="G23" i="3" s="1"/>
  <c r="F8" i="3"/>
  <c r="G8" i="3" s="1"/>
  <c r="E34" i="3"/>
  <c r="E19" i="3"/>
  <c r="E18" i="3"/>
  <c r="F4" i="3"/>
  <c r="G4" i="3" s="1"/>
  <c r="F41" i="3"/>
  <c r="G41" i="3" s="1"/>
  <c r="E3" i="3"/>
  <c r="F2" i="3"/>
  <c r="G2" i="3" s="1"/>
  <c r="E30" i="3"/>
  <c r="E38" i="3"/>
  <c r="E36" i="3"/>
  <c r="E15" i="3"/>
  <c r="E41" i="3"/>
  <c r="F13" i="3"/>
  <c r="G13" i="3" s="1"/>
  <c r="F10" i="3"/>
  <c r="G10" i="3" s="1"/>
  <c r="F36" i="3"/>
  <c r="G36" i="3" s="1"/>
  <c r="E17" i="3"/>
  <c r="F34" i="3"/>
  <c r="G34" i="3" s="1"/>
  <c r="E10" i="3"/>
  <c r="F22" i="3"/>
  <c r="G22" i="3" s="1"/>
  <c r="F5" i="3"/>
  <c r="G5" i="3" s="1"/>
  <c r="F3" i="3"/>
  <c r="G3" i="3" s="1"/>
  <c r="E13" i="3"/>
  <c r="E12" i="3"/>
  <c r="E11" i="3"/>
  <c r="E9" i="3"/>
  <c r="F28" i="3"/>
  <c r="G28" i="3" s="1"/>
  <c r="F40" i="3"/>
  <c r="G40" i="3" s="1"/>
  <c r="F17" i="3"/>
  <c r="G17" i="3" s="1"/>
  <c r="F37" i="3"/>
  <c r="G37" i="3" s="1"/>
  <c r="F7" i="3"/>
  <c r="G7" i="3" s="1"/>
  <c r="F26" i="3"/>
  <c r="G26" i="3" s="1"/>
  <c r="E28" i="3"/>
  <c r="E40" i="3"/>
  <c r="E33" i="3"/>
  <c r="F20" i="3"/>
  <c r="G20" i="3" s="1"/>
  <c r="F30" i="3"/>
  <c r="G30" i="3" s="1"/>
  <c r="E20" i="3"/>
  <c r="E16" i="3"/>
  <c r="E26" i="3"/>
  <c r="E14" i="3"/>
  <c r="E25" i="3"/>
  <c r="E29" i="3"/>
  <c r="E8" i="3"/>
  <c r="E7" i="3"/>
  <c r="F21" i="3"/>
  <c r="G21" i="3" s="1"/>
  <c r="F19" i="3"/>
  <c r="G19" i="3" s="1"/>
  <c r="E37" i="3"/>
  <c r="F6" i="3"/>
  <c r="G6" i="3" s="1"/>
  <c r="F29" i="3"/>
  <c r="G29" i="3" s="1"/>
  <c r="E6" i="3"/>
  <c r="F27" i="3"/>
  <c r="G27" i="3" s="1"/>
  <c r="F39" i="3"/>
  <c r="G39" i="3" s="1"/>
  <c r="F38" i="3"/>
  <c r="G38" i="3" s="1"/>
  <c r="F11" i="3"/>
  <c r="G11" i="3" s="1"/>
  <c r="E21" i="3"/>
  <c r="E22" i="3"/>
  <c r="F35" i="3"/>
  <c r="G35" i="3" s="1"/>
  <c r="E5" i="3"/>
  <c r="E27" i="3"/>
</calcChain>
</file>

<file path=xl/sharedStrings.xml><?xml version="1.0" encoding="utf-8"?>
<sst xmlns="http://schemas.openxmlformats.org/spreadsheetml/2006/main" count="25" uniqueCount="23">
  <si>
    <t>la</t>
  </si>
  <si>
    <t>Ts</t>
  </si>
  <si>
    <t>dt</t>
  </si>
  <si>
    <t>As</t>
  </si>
  <si>
    <t>l</t>
  </si>
  <si>
    <t>v</t>
  </si>
  <si>
    <t>tper</t>
  </si>
  <si>
    <t>A</t>
  </si>
  <si>
    <t>lam</t>
  </si>
  <si>
    <t>x</t>
  </si>
  <si>
    <t>t</t>
  </si>
  <si>
    <t>nu</t>
  </si>
  <si>
    <t>V)</t>
  </si>
  <si>
    <t>B)</t>
  </si>
  <si>
    <t>A)</t>
  </si>
  <si>
    <t>ts</t>
  </si>
  <si>
    <t>x1</t>
  </si>
  <si>
    <t>lam_s</t>
  </si>
  <si>
    <t>поступающая (Ao)</t>
  </si>
  <si>
    <t>oбслуженная (As)</t>
  </si>
  <si>
    <t>lam_o</t>
  </si>
  <si>
    <t>P</t>
  </si>
  <si>
    <t>потерянная (AL)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</si>
</sst>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'3'!$E$1</c:f>
              <c:strCache>
                <c:ptCount val="1"/>
                <c:pt idx="0">
                  <c:v>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'3'!$D$2:$D$41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'3'!$E$2:$E$41</c:f>
              <c:numCache>
                <c:formatCode>General</c:formatCode>
                <c:ptCount val="40"/>
                <c:pt idx="0">
                  <c:v>4.1807173238362967E-5</c:v>
                </c:pt>
                <c:pt idx="1">
                  <c:v>9.4804810973909439E-4</c:v>
                </c:pt>
                <c:pt idx="2">
                  <c:v>5.1450974640889647E-3</c:v>
                </c:pt>
                <c:pt idx="3">
                  <c:v>1.5626183974901082E-2</c:v>
                </c:pt>
                <c:pt idx="4">
                  <c:v>3.4657842279599282E-2</c:v>
                </c:pt>
                <c:pt idx="5">
                  <c:v>6.3198440928020252E-2</c:v>
                </c:pt>
                <c:pt idx="6">
                  <c:v>0.10092519027486131</c:v>
                </c:pt>
                <c:pt idx="7">
                  <c:v>0.1465660877016132</c:v>
                </c:pt>
                <c:pt idx="8">
                  <c:v>0.19830496868218175</c:v>
                </c:pt>
                <c:pt idx="9">
                  <c:v>0.25413518159336584</c:v>
                </c:pt>
                <c:pt idx="10">
                  <c:v>0.31211612625713842</c:v>
                </c:pt>
                <c:pt idx="11">
                  <c:v>0.37053120852570692</c:v>
                </c:pt>
                <c:pt idx="12">
                  <c:v>0.42796524437341493</c:v>
                </c:pt>
                <c:pt idx="13">
                  <c:v>0.48332436414736485</c:v>
                </c:pt>
                <c:pt idx="14">
                  <c:v>0.53581946101024913</c:v>
                </c:pt>
                <c:pt idx="15">
                  <c:v>0.58492964531430425</c:v>
                </c:pt>
                <c:pt idx="16">
                  <c:v>0.63035731015304775</c:v>
                </c:pt>
                <c:pt idx="17">
                  <c:v>0.67198227401547339</c:v>
                </c:pt>
                <c:pt idx="18">
                  <c:v>0.7098193273212241</c:v>
                </c:pt>
                <c:pt idx="19">
                  <c:v>0.74398131879513407</c:v>
                </c:pt>
                <c:pt idx="20">
                  <c:v>0.7746484970459232</c:v>
                </c:pt>
                <c:pt idx="21">
                  <c:v>0.80204397277572814</c:v>
                </c:pt>
                <c:pt idx="22">
                  <c:v>0.82641471204590378</c:v>
                </c:pt>
                <c:pt idx="23">
                  <c:v>0.84801727325102372</c:v>
                </c:pt>
                <c:pt idx="24">
                  <c:v>0.86710745972272574</c:v>
                </c:pt>
                <c:pt idx="25">
                  <c:v>0.88393310735317143</c:v>
                </c:pt>
                <c:pt idx="26">
                  <c:v>0.89872931734363637</c:v>
                </c:pt>
                <c:pt idx="27">
                  <c:v>0.91171555032654072</c:v>
                </c:pt>
                <c:pt idx="28">
                  <c:v>0.92309410355839283</c:v>
                </c:pt>
                <c:pt idx="29">
                  <c:v>0.93304958916533676</c:v>
                </c:pt>
                <c:pt idx="30">
                  <c:v>0.9417491148509759</c:v>
                </c:pt>
                <c:pt idx="31">
                  <c:v>0.94934293818711291</c:v>
                </c:pt>
                <c:pt idx="32">
                  <c:v>0.95596542229676151</c:v>
                </c:pt>
                <c:pt idx="33">
                  <c:v>0.96173616585263089</c:v>
                </c:pt>
                <c:pt idx="34">
                  <c:v>0.96676121557087258</c:v>
                </c:pt>
                <c:pt idx="35">
                  <c:v>0.97113429649312266</c:v>
                </c:pt>
                <c:pt idx="36">
                  <c:v>0.97493801588882645</c:v>
                </c:pt>
                <c:pt idx="37">
                  <c:v>0.97824501193805147</c:v>
                </c:pt>
                <c:pt idx="38">
                  <c:v>0.98111902961622777</c:v>
                </c:pt>
                <c:pt idx="39">
                  <c:v>0.98361591433196982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82-44AA-8B43-E0D36C27A2D2}"/>
            </c:ext>
          </c:extLst>
        </c:ser>
        <c:ser>
          <c:idx val="1"/>
          <c:order val="1"/>
          <c:tx>
            <c:strRef>
              <c:f>'3'!$F$1</c:f>
              <c:strCache>
                <c:ptCount val="1"/>
                <c:pt idx="0">
                  <c:v>B)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'3'!$D$2:$D$41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'3'!$F$2:$F$41</c:f>
              <c:numCache>
                <c:formatCode>General</c:formatCode>
                <c:ptCount val="40"/>
                <c:pt idx="0">
                  <c:v>0.489541659556953</c:v>
                </c:pt>
                <c:pt idx="1">
                  <c:v>0.23965103644177588</c:v>
                </c:pt>
                <c:pt idx="2">
                  <c:v>0.11731916609425076</c:v>
                </c:pt>
                <c:pt idx="3">
                  <c:v>5.7432619267617384E-2</c:v>
                </c:pt>
                <c:pt idx="4">
                  <c:v>2.8115659748972056E-2</c:v>
                </c:pt>
                <c:pt idx="5">
                  <c:v>1.3763786733050405E-2</c:v>
                </c:pt>
                <c:pt idx="6">
                  <c:v>6.7379469990854679E-3</c:v>
                </c:pt>
                <c:pt idx="7">
                  <c:v>3.2985057559390928E-3</c:v>
                </c:pt>
                <c:pt idx="8">
                  <c:v>1.6147559818205869E-3</c:v>
                </c:pt>
                <c:pt idx="9">
                  <c:v>7.9049032311996744E-4</c:v>
                </c:pt>
                <c:pt idx="10">
                  <c:v>3.8697794464386063E-4</c:v>
                </c:pt>
                <c:pt idx="11">
                  <c:v>1.8944182523289433E-4</c:v>
                </c:pt>
                <c:pt idx="12">
                  <c:v>9.2739665514009333E-5</c:v>
                </c:pt>
                <c:pt idx="13">
                  <c:v>4.5399929762484861E-5</c:v>
                </c:pt>
                <c:pt idx="14">
                  <c:v>2.2225156959695947E-5</c:v>
                </c:pt>
                <c:pt idx="15">
                  <c:v>1.0880140221963324E-5</c:v>
                </c:pt>
                <c:pt idx="16">
                  <c:v>5.3262819004722828E-6</c:v>
                </c:pt>
                <c:pt idx="17">
                  <c:v>2.6074368808253652E-6</c:v>
                </c:pt>
                <c:pt idx="18">
                  <c:v>1.2764489778292551E-6</c:v>
                </c:pt>
                <c:pt idx="19">
                  <c:v>6.248749509463101E-7</c:v>
                </c:pt>
                <c:pt idx="20">
                  <c:v>3.0590232050182579E-7</c:v>
                </c:pt>
                <c:pt idx="21">
                  <c:v>1.4975192964078684E-7</c:v>
                </c:pt>
                <c:pt idx="22">
                  <c:v>7.3309808158206846E-8</c:v>
                </c:pt>
                <c:pt idx="23">
                  <c:v>3.5888205147570476E-8</c:v>
                </c:pt>
                <c:pt idx="24">
                  <c:v>1.7568771506462036E-8</c:v>
                </c:pt>
                <c:pt idx="25">
                  <c:v>8.600645559650343E-9</c:v>
                </c:pt>
                <c:pt idx="26">
                  <c:v>4.2103743005323688E-9</c:v>
                </c:pt>
                <c:pt idx="27">
                  <c:v>2.061153622438557E-9</c:v>
                </c:pt>
                <c:pt idx="28">
                  <c:v>1.0090205649304002E-9</c:v>
                </c:pt>
                <c:pt idx="29">
                  <c:v>4.9395760188312121E-10</c:v>
                </c:pt>
                <c:pt idx="30">
                  <c:v>2.4181282417663661E-10</c:v>
                </c:pt>
                <c:pt idx="31">
                  <c:v>1.1837745124958411E-10</c:v>
                </c:pt>
                <c:pt idx="32">
                  <c:v>5.7950693938843659E-11</c:v>
                </c:pt>
                <c:pt idx="33">
                  <c:v>2.8369278883298653E-11</c:v>
                </c:pt>
                <c:pt idx="34">
                  <c:v>1.3887943864964018E-11</c:v>
                </c:pt>
                <c:pt idx="35">
                  <c:v>6.7987270874883088E-12</c:v>
                </c:pt>
                <c:pt idx="36">
                  <c:v>3.3282601412838301E-12</c:v>
                </c:pt>
                <c:pt idx="37">
                  <c:v>1.6293219930013502E-12</c:v>
                </c:pt>
                <c:pt idx="38">
                  <c:v>7.9762099240652202E-13</c:v>
                </c:pt>
                <c:pt idx="39">
                  <c:v>3.9046870432015346E-13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9C-433B-8E80-54FE0D83560D}"/>
            </c:ext>
          </c:extLst>
        </c:ser>
        <c:ser>
          <c:idx val="2"/>
          <c:order val="2"/>
          <c:tx>
            <c:strRef>
              <c:f>'3'!$G$1</c:f>
              <c:strCache>
                <c:ptCount val="1"/>
                <c:pt idx="0">
                  <c:v>V)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'3'!$D$2:$D$41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'3'!$G$2:$G$41</c:f>
              <c:numCache>
                <c:formatCode>General</c:formatCode>
                <c:ptCount val="40"/>
                <c:pt idx="0">
                  <c:v>0.51045834044304694</c:v>
                </c:pt>
                <c:pt idx="1">
                  <c:v>0.76034896355822412</c:v>
                </c:pt>
                <c:pt idx="2">
                  <c:v>0.88268083390574925</c:v>
                </c:pt>
                <c:pt idx="3">
                  <c:v>0.94256738073238266</c:v>
                </c:pt>
                <c:pt idx="4">
                  <c:v>0.97188434025102799</c:v>
                </c:pt>
                <c:pt idx="5">
                  <c:v>0.98623621326694955</c:v>
                </c:pt>
                <c:pt idx="6">
                  <c:v>0.99326205300091452</c:v>
                </c:pt>
                <c:pt idx="7">
                  <c:v>0.99670149424406096</c:v>
                </c:pt>
                <c:pt idx="8">
                  <c:v>0.99838524401817941</c:v>
                </c:pt>
                <c:pt idx="9">
                  <c:v>0.99920950967688005</c:v>
                </c:pt>
                <c:pt idx="10">
                  <c:v>0.99961302205535618</c:v>
                </c:pt>
                <c:pt idx="11">
                  <c:v>0.99981055817476716</c:v>
                </c:pt>
                <c:pt idx="12">
                  <c:v>0.99990726033448596</c:v>
                </c:pt>
                <c:pt idx="13">
                  <c:v>0.99995460007023751</c:v>
                </c:pt>
                <c:pt idx="14">
                  <c:v>0.99997777484304029</c:v>
                </c:pt>
                <c:pt idx="15">
                  <c:v>0.99998911985977801</c:v>
                </c:pt>
                <c:pt idx="16">
                  <c:v>0.99999467371809958</c:v>
                </c:pt>
                <c:pt idx="17">
                  <c:v>0.99999739256311915</c:v>
                </c:pt>
                <c:pt idx="18">
                  <c:v>0.99999872355102215</c:v>
                </c:pt>
                <c:pt idx="19">
                  <c:v>0.99999937512504911</c:v>
                </c:pt>
                <c:pt idx="20">
                  <c:v>0.99999969409767953</c:v>
                </c:pt>
                <c:pt idx="21">
                  <c:v>0.99999985024807037</c:v>
                </c:pt>
                <c:pt idx="22">
                  <c:v>0.99999992669019189</c:v>
                </c:pt>
                <c:pt idx="23">
                  <c:v>0.99999996411179481</c:v>
                </c:pt>
                <c:pt idx="24">
                  <c:v>0.99999998243122845</c:v>
                </c:pt>
                <c:pt idx="25">
                  <c:v>0.99999999139935447</c:v>
                </c:pt>
                <c:pt idx="26">
                  <c:v>0.99999999578962573</c:v>
                </c:pt>
                <c:pt idx="27">
                  <c:v>0.99999999793884642</c:v>
                </c:pt>
                <c:pt idx="28">
                  <c:v>0.99999999899097947</c:v>
                </c:pt>
                <c:pt idx="29">
                  <c:v>0.99999999950604235</c:v>
                </c:pt>
                <c:pt idx="30">
                  <c:v>0.99999999975818721</c:v>
                </c:pt>
                <c:pt idx="31">
                  <c:v>0.99999999988162258</c:v>
                </c:pt>
                <c:pt idx="32">
                  <c:v>0.99999999994204936</c:v>
                </c:pt>
                <c:pt idx="33">
                  <c:v>0.99999999997163069</c:v>
                </c:pt>
                <c:pt idx="34">
                  <c:v>0.99999999998611211</c:v>
                </c:pt>
                <c:pt idx="35">
                  <c:v>0.99999999999320133</c:v>
                </c:pt>
                <c:pt idx="36">
                  <c:v>0.99999999999667177</c:v>
                </c:pt>
                <c:pt idx="37">
                  <c:v>0.99999999999837064</c:v>
                </c:pt>
                <c:pt idx="38">
                  <c:v>0.99999999999920242</c:v>
                </c:pt>
                <c:pt idx="39">
                  <c:v>0.99999999999960953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9C-433B-8E80-54FE0D835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6277904"/>
        <c:axId val="651360064"/>
      </c:lineChart>
      <c:catAx>
        <c:axId val="646277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1360064"/>
        <c:crosses val="autoZero"/>
        <c:auto val="1"/>
        <c:lblAlgn val="ctr"/>
        <c:lblOffset val="100"/>
        <c:noMultiLvlLbl val="1"/>
      </c:catAx>
      <c:valAx>
        <c:axId val="65136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6277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400050</xdr:colOff>
      <xdr:row>0</xdr:row>
      <xdr:rowOff>129540</xdr:rowOff>
    </xdr:from>
    <xdr:to>
      <xdr:col>32</xdr:col>
      <xdr:colOff>335280</xdr:colOff>
      <xdr:row>21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AAD757-AF8F-420C-9D44-0DA339515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135E6-9034-4EC9-8A77-0FFD7E3D2466}">
  <dimension ref="A1:C2"/>
  <sheetViews>
    <sheetView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3</v>
      </c>
    </row>
    <row r="2" spans="1:3" x14ac:dyDescent="0.3">
      <c r="A2">
        <v>5</v>
      </c>
      <c r="B2">
        <f>7/(10*60)</f>
        <v>1.1666666666666667E-2</v>
      </c>
      <c r="C2">
        <f>(A2*B2)</f>
        <v>5.8333333333333334E-2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E6648-2FCC-4763-9722-E9CBD21BDD3B}">
  <dimension ref="A1:F2"/>
  <sheetViews>
    <sheetView workbookViewId="0">
      <selection activeCell="E12" sqref="E12"/>
    </sheetView>
  </sheetViews>
  <sheetFormatPr defaultRowHeight="14.4" x14ac:dyDescent="0.3"/>
  <cols>
    <col min="5" max="5" width="12" bestFit="1" customWidth="1"/>
  </cols>
  <sheetData>
    <row r="1" spans="1:6" x14ac:dyDescent="0.3">
      <c r="A1" t="s">
        <v>4</v>
      </c>
      <c r="B1" t="s">
        <v>5</v>
      </c>
      <c r="C1" t="s">
        <v>6</v>
      </c>
      <c r="D1" t="s">
        <v>8</v>
      </c>
      <c r="E1" t="s">
        <v>7</v>
      </c>
      <c r="F1" t="s">
        <v>2</v>
      </c>
    </row>
    <row r="2" spans="1:6" x14ac:dyDescent="0.3">
      <c r="A2">
        <f>800*8</f>
        <v>6400</v>
      </c>
      <c r="B2">
        <f>10*(10^6)</f>
        <v>10000000</v>
      </c>
      <c r="C2">
        <f>A2/B2</f>
        <v>6.4000000000000005E-4</v>
      </c>
      <c r="D2">
        <f>1</f>
        <v>1</v>
      </c>
      <c r="E2">
        <f>(D2*C2)/F2</f>
        <v>1.2800000000000002E-4</v>
      </c>
      <c r="F2">
        <f>5</f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44CF-4EBD-4744-ACFE-D864B68370A9}">
  <dimension ref="A1:G41"/>
  <sheetViews>
    <sheetView zoomScale="67" workbookViewId="0">
      <selection activeCell="E2" sqref="E2"/>
    </sheetView>
  </sheetViews>
  <sheetFormatPr defaultRowHeight="14.4" x14ac:dyDescent="0.3"/>
  <sheetData>
    <row r="1" spans="1:7" x14ac:dyDescent="0.3">
      <c r="A1" s="1" t="s">
        <v>9</v>
      </c>
      <c r="B1" s="1" t="s">
        <v>15</v>
      </c>
      <c r="C1" s="1" t="s">
        <v>11</v>
      </c>
      <c r="D1" s="1" t="s">
        <v>10</v>
      </c>
      <c r="E1" s="4" t="s">
        <v>14</v>
      </c>
      <c r="F1" s="2" t="s">
        <v>13</v>
      </c>
      <c r="G1" s="3" t="s">
        <v>12</v>
      </c>
    </row>
    <row r="2" spans="1:7" x14ac:dyDescent="0.3">
      <c r="A2" s="1">
        <v>5</v>
      </c>
      <c r="B2" s="1">
        <v>7</v>
      </c>
      <c r="C2" s="1">
        <f>1/B2</f>
        <v>0.14285714285714285</v>
      </c>
      <c r="D2" s="1">
        <v>1</v>
      </c>
      <c r="E2" s="4">
        <f>(1-EXP(-C$2*D2))^A$2</f>
        <v>4.1807173238362967E-5</v>
      </c>
      <c r="F2" s="2">
        <f>(EXP(-C$2*D2))^A$2</f>
        <v>0.489541659556953</v>
      </c>
      <c r="G2" s="3">
        <f>1-F2</f>
        <v>0.51045834044304694</v>
      </c>
    </row>
    <row r="3" spans="1:7" x14ac:dyDescent="0.3">
      <c r="A3" s="1"/>
      <c r="B3" s="1"/>
      <c r="C3" s="1"/>
      <c r="D3" s="1">
        <v>2</v>
      </c>
      <c r="E3" s="4">
        <f t="shared" ref="E3:E21" si="0">(1-EXP(-C$2*D3))^A$2</f>
        <v>9.4804810973909439E-4</v>
      </c>
      <c r="F3" s="2">
        <f t="shared" ref="F3:F21" si="1">(EXP(-C$2*D3))^A$2</f>
        <v>0.23965103644177588</v>
      </c>
      <c r="G3" s="3">
        <f t="shared" ref="G3:G41" si="2">1-F3</f>
        <v>0.76034896355822412</v>
      </c>
    </row>
    <row r="4" spans="1:7" x14ac:dyDescent="0.3">
      <c r="A4" s="1"/>
      <c r="B4" s="1"/>
      <c r="C4" s="1"/>
      <c r="D4" s="1">
        <v>3</v>
      </c>
      <c r="E4" s="4">
        <f t="shared" si="0"/>
        <v>5.1450974640889647E-3</v>
      </c>
      <c r="F4" s="2">
        <f t="shared" si="1"/>
        <v>0.11731916609425076</v>
      </c>
      <c r="G4" s="3">
        <f t="shared" si="2"/>
        <v>0.88268083390574925</v>
      </c>
    </row>
    <row r="5" spans="1:7" x14ac:dyDescent="0.3">
      <c r="A5" s="1"/>
      <c r="B5" s="1"/>
      <c r="C5" s="1"/>
      <c r="D5" s="1">
        <v>4</v>
      </c>
      <c r="E5" s="4">
        <f t="shared" si="0"/>
        <v>1.5626183974901082E-2</v>
      </c>
      <c r="F5" s="2">
        <f t="shared" si="1"/>
        <v>5.7432619267617384E-2</v>
      </c>
      <c r="G5" s="3">
        <f t="shared" si="2"/>
        <v>0.94256738073238266</v>
      </c>
    </row>
    <row r="6" spans="1:7" x14ac:dyDescent="0.3">
      <c r="A6" s="1"/>
      <c r="B6" s="1"/>
      <c r="C6" s="1"/>
      <c r="D6" s="1">
        <v>5</v>
      </c>
      <c r="E6" s="4">
        <f t="shared" si="0"/>
        <v>3.4657842279599282E-2</v>
      </c>
      <c r="F6" s="2">
        <f t="shared" si="1"/>
        <v>2.8115659748972056E-2</v>
      </c>
      <c r="G6" s="3">
        <f t="shared" si="2"/>
        <v>0.97188434025102799</v>
      </c>
    </row>
    <row r="7" spans="1:7" x14ac:dyDescent="0.3">
      <c r="A7" s="1"/>
      <c r="B7" s="1"/>
      <c r="C7" s="1"/>
      <c r="D7" s="1">
        <v>6</v>
      </c>
      <c r="E7" s="4">
        <f t="shared" si="0"/>
        <v>6.3198440928020252E-2</v>
      </c>
      <c r="F7" s="2">
        <f t="shared" si="1"/>
        <v>1.3763786733050405E-2</v>
      </c>
      <c r="G7" s="3">
        <f t="shared" si="2"/>
        <v>0.98623621326694955</v>
      </c>
    </row>
    <row r="8" spans="1:7" x14ac:dyDescent="0.3">
      <c r="A8" s="1"/>
      <c r="B8" s="1"/>
      <c r="C8" s="1"/>
      <c r="D8" s="1">
        <v>7</v>
      </c>
      <c r="E8" s="4">
        <f t="shared" si="0"/>
        <v>0.10092519027486131</v>
      </c>
      <c r="F8" s="2">
        <f t="shared" si="1"/>
        <v>6.7379469990854679E-3</v>
      </c>
      <c r="G8" s="3">
        <f t="shared" si="2"/>
        <v>0.99326205300091452</v>
      </c>
    </row>
    <row r="9" spans="1:7" x14ac:dyDescent="0.3">
      <c r="A9" s="1"/>
      <c r="B9" s="1"/>
      <c r="C9" s="1"/>
      <c r="D9" s="1">
        <v>8</v>
      </c>
      <c r="E9" s="4">
        <f t="shared" si="0"/>
        <v>0.1465660877016132</v>
      </c>
      <c r="F9" s="2">
        <f t="shared" si="1"/>
        <v>3.2985057559390928E-3</v>
      </c>
      <c r="G9" s="3">
        <f t="shared" si="2"/>
        <v>0.99670149424406096</v>
      </c>
    </row>
    <row r="10" spans="1:7" x14ac:dyDescent="0.3">
      <c r="A10" s="1"/>
      <c r="B10" s="1"/>
      <c r="C10" s="1"/>
      <c r="D10" s="1">
        <v>9</v>
      </c>
      <c r="E10" s="4">
        <f t="shared" si="0"/>
        <v>0.19830496868218175</v>
      </c>
      <c r="F10" s="2">
        <f t="shared" si="1"/>
        <v>1.6147559818205869E-3</v>
      </c>
      <c r="G10" s="3">
        <f t="shared" si="2"/>
        <v>0.99838524401817941</v>
      </c>
    </row>
    <row r="11" spans="1:7" x14ac:dyDescent="0.3">
      <c r="A11" s="1"/>
      <c r="B11" s="1"/>
      <c r="C11" s="1"/>
      <c r="D11" s="1">
        <v>10</v>
      </c>
      <c r="E11" s="4">
        <f t="shared" si="0"/>
        <v>0.25413518159336584</v>
      </c>
      <c r="F11" s="2">
        <f t="shared" si="1"/>
        <v>7.9049032311996744E-4</v>
      </c>
      <c r="G11" s="3">
        <f t="shared" si="2"/>
        <v>0.99920950967688005</v>
      </c>
    </row>
    <row r="12" spans="1:7" x14ac:dyDescent="0.3">
      <c r="A12" s="1"/>
      <c r="B12" s="1"/>
      <c r="C12" s="1"/>
      <c r="D12" s="1">
        <v>11</v>
      </c>
      <c r="E12" s="4">
        <f t="shared" si="0"/>
        <v>0.31211612625713842</v>
      </c>
      <c r="F12" s="2">
        <f t="shared" si="1"/>
        <v>3.8697794464386063E-4</v>
      </c>
      <c r="G12" s="3">
        <f t="shared" si="2"/>
        <v>0.99961302205535618</v>
      </c>
    </row>
    <row r="13" spans="1:7" x14ac:dyDescent="0.3">
      <c r="A13" s="1"/>
      <c r="B13" s="1"/>
      <c r="C13" s="1"/>
      <c r="D13" s="1">
        <v>12</v>
      </c>
      <c r="E13" s="4">
        <f t="shared" si="0"/>
        <v>0.37053120852570692</v>
      </c>
      <c r="F13" s="2">
        <f t="shared" si="1"/>
        <v>1.8944182523289433E-4</v>
      </c>
      <c r="G13" s="3">
        <f t="shared" si="2"/>
        <v>0.99981055817476716</v>
      </c>
    </row>
    <row r="14" spans="1:7" x14ac:dyDescent="0.3">
      <c r="A14" s="1"/>
      <c r="B14" s="1"/>
      <c r="C14" s="1"/>
      <c r="D14" s="1">
        <v>13</v>
      </c>
      <c r="E14" s="4">
        <f t="shared" si="0"/>
        <v>0.42796524437341493</v>
      </c>
      <c r="F14" s="2">
        <f t="shared" si="1"/>
        <v>9.2739665514009333E-5</v>
      </c>
      <c r="G14" s="3">
        <f t="shared" si="2"/>
        <v>0.99990726033448596</v>
      </c>
    </row>
    <row r="15" spans="1:7" x14ac:dyDescent="0.3">
      <c r="A15" s="1"/>
      <c r="B15" s="1"/>
      <c r="C15" s="1"/>
      <c r="D15" s="1">
        <v>14</v>
      </c>
      <c r="E15" s="4">
        <f t="shared" si="0"/>
        <v>0.48332436414736485</v>
      </c>
      <c r="F15" s="2">
        <f t="shared" si="1"/>
        <v>4.5399929762484861E-5</v>
      </c>
      <c r="G15" s="3">
        <f t="shared" si="2"/>
        <v>0.99995460007023751</v>
      </c>
    </row>
    <row r="16" spans="1:7" x14ac:dyDescent="0.3">
      <c r="A16" s="1"/>
      <c r="B16" s="1"/>
      <c r="C16" s="1"/>
      <c r="D16" s="1">
        <v>15</v>
      </c>
      <c r="E16" s="4">
        <f t="shared" si="0"/>
        <v>0.53581946101024913</v>
      </c>
      <c r="F16" s="2">
        <f t="shared" si="1"/>
        <v>2.2225156959695947E-5</v>
      </c>
      <c r="G16" s="3">
        <f t="shared" si="2"/>
        <v>0.99997777484304029</v>
      </c>
    </row>
    <row r="17" spans="1:7" x14ac:dyDescent="0.3">
      <c r="A17" s="1"/>
      <c r="B17" s="1"/>
      <c r="C17" s="1"/>
      <c r="D17" s="1">
        <v>16</v>
      </c>
      <c r="E17" s="4">
        <f t="shared" si="0"/>
        <v>0.58492964531430425</v>
      </c>
      <c r="F17" s="2">
        <f t="shared" si="1"/>
        <v>1.0880140221963324E-5</v>
      </c>
      <c r="G17" s="3">
        <f t="shared" si="2"/>
        <v>0.99998911985977801</v>
      </c>
    </row>
    <row r="18" spans="1:7" x14ac:dyDescent="0.3">
      <c r="A18" s="1"/>
      <c r="B18" s="1"/>
      <c r="C18" s="1"/>
      <c r="D18" s="1">
        <v>17</v>
      </c>
      <c r="E18" s="4">
        <f t="shared" si="0"/>
        <v>0.63035731015304775</v>
      </c>
      <c r="F18" s="2">
        <f t="shared" si="1"/>
        <v>5.3262819004722828E-6</v>
      </c>
      <c r="G18" s="3">
        <f t="shared" si="2"/>
        <v>0.99999467371809958</v>
      </c>
    </row>
    <row r="19" spans="1:7" x14ac:dyDescent="0.3">
      <c r="A19" s="1"/>
      <c r="B19" s="1"/>
      <c r="C19" s="1"/>
      <c r="D19" s="1">
        <v>18</v>
      </c>
      <c r="E19" s="4">
        <f t="shared" si="0"/>
        <v>0.67198227401547339</v>
      </c>
      <c r="F19" s="2">
        <f t="shared" si="1"/>
        <v>2.6074368808253652E-6</v>
      </c>
      <c r="G19" s="3">
        <f t="shared" si="2"/>
        <v>0.99999739256311915</v>
      </c>
    </row>
    <row r="20" spans="1:7" x14ac:dyDescent="0.3">
      <c r="A20" s="1"/>
      <c r="B20" s="1"/>
      <c r="C20" s="1"/>
      <c r="D20" s="1">
        <v>19</v>
      </c>
      <c r="E20" s="4">
        <f t="shared" si="0"/>
        <v>0.7098193273212241</v>
      </c>
      <c r="F20" s="2">
        <f t="shared" si="1"/>
        <v>1.2764489778292551E-6</v>
      </c>
      <c r="G20" s="3">
        <f t="shared" si="2"/>
        <v>0.99999872355102215</v>
      </c>
    </row>
    <row r="21" spans="1:7" x14ac:dyDescent="0.3">
      <c r="A21" s="1"/>
      <c r="B21" s="1"/>
      <c r="C21" s="1"/>
      <c r="D21" s="1">
        <v>20</v>
      </c>
      <c r="E21" s="4">
        <f t="shared" si="0"/>
        <v>0.74398131879513407</v>
      </c>
      <c r="F21" s="2">
        <f t="shared" si="1"/>
        <v>6.248749509463101E-7</v>
      </c>
      <c r="G21" s="3">
        <f t="shared" si="2"/>
        <v>0.99999937512504911</v>
      </c>
    </row>
    <row r="22" spans="1:7" x14ac:dyDescent="0.3">
      <c r="D22" s="1">
        <v>21</v>
      </c>
      <c r="E22" s="4">
        <f t="shared" ref="E22:E24" si="3">(1-EXP(-C$2*D22))^A$2</f>
        <v>0.7746484970459232</v>
      </c>
      <c r="F22" s="2">
        <f t="shared" ref="F22:F24" si="4">(EXP(-C$2*D22))^A$2</f>
        <v>3.0590232050182579E-7</v>
      </c>
      <c r="G22" s="3">
        <f t="shared" si="2"/>
        <v>0.99999969409767953</v>
      </c>
    </row>
    <row r="23" spans="1:7" x14ac:dyDescent="0.3">
      <c r="D23" s="1">
        <v>22</v>
      </c>
      <c r="E23" s="4">
        <f t="shared" si="3"/>
        <v>0.80204397277572814</v>
      </c>
      <c r="F23" s="2">
        <f t="shared" si="4"/>
        <v>1.4975192964078684E-7</v>
      </c>
      <c r="G23" s="3">
        <f t="shared" si="2"/>
        <v>0.99999985024807037</v>
      </c>
    </row>
    <row r="24" spans="1:7" x14ac:dyDescent="0.3">
      <c r="D24" s="1">
        <v>23</v>
      </c>
      <c r="E24" s="4">
        <f t="shared" si="3"/>
        <v>0.82641471204590378</v>
      </c>
      <c r="F24" s="2">
        <f t="shared" si="4"/>
        <v>7.3309808158206846E-8</v>
      </c>
      <c r="G24" s="3">
        <f t="shared" si="2"/>
        <v>0.99999992669019189</v>
      </c>
    </row>
    <row r="25" spans="1:7" x14ac:dyDescent="0.3">
      <c r="D25" s="1">
        <v>24</v>
      </c>
      <c r="E25" s="4">
        <f t="shared" ref="E25:E32" si="5">(1-EXP(-C$2*D25))^A$2</f>
        <v>0.84801727325102372</v>
      </c>
      <c r="F25" s="2">
        <f t="shared" ref="F25:F32" si="6">(EXP(-C$2*D25))^A$2</f>
        <v>3.5888205147570476E-8</v>
      </c>
      <c r="G25" s="3">
        <f t="shared" si="2"/>
        <v>0.99999996411179481</v>
      </c>
    </row>
    <row r="26" spans="1:7" x14ac:dyDescent="0.3">
      <c r="D26" s="1">
        <v>25</v>
      </c>
      <c r="E26" s="4">
        <f t="shared" si="5"/>
        <v>0.86710745972272574</v>
      </c>
      <c r="F26" s="2">
        <f t="shared" si="6"/>
        <v>1.7568771506462036E-8</v>
      </c>
      <c r="G26" s="3">
        <f t="shared" si="2"/>
        <v>0.99999998243122845</v>
      </c>
    </row>
    <row r="27" spans="1:7" x14ac:dyDescent="0.3">
      <c r="D27" s="1">
        <v>26</v>
      </c>
      <c r="E27" s="4">
        <f t="shared" si="5"/>
        <v>0.88393310735317143</v>
      </c>
      <c r="F27" s="2">
        <f t="shared" si="6"/>
        <v>8.600645559650343E-9</v>
      </c>
      <c r="G27" s="3">
        <f t="shared" si="2"/>
        <v>0.99999999139935447</v>
      </c>
    </row>
    <row r="28" spans="1:7" x14ac:dyDescent="0.3">
      <c r="D28" s="1">
        <v>27</v>
      </c>
      <c r="E28" s="4">
        <f t="shared" si="5"/>
        <v>0.89872931734363637</v>
      </c>
      <c r="F28" s="2">
        <f t="shared" si="6"/>
        <v>4.2103743005323688E-9</v>
      </c>
      <c r="G28" s="3">
        <f t="shared" si="2"/>
        <v>0.99999999578962573</v>
      </c>
    </row>
    <row r="29" spans="1:7" x14ac:dyDescent="0.3">
      <c r="D29" s="1">
        <v>28</v>
      </c>
      <c r="E29" s="4">
        <f t="shared" si="5"/>
        <v>0.91171555032654072</v>
      </c>
      <c r="F29" s="2">
        <f t="shared" si="6"/>
        <v>2.061153622438557E-9</v>
      </c>
      <c r="G29" s="3">
        <f t="shared" si="2"/>
        <v>0.99999999793884642</v>
      </c>
    </row>
    <row r="30" spans="1:7" x14ac:dyDescent="0.3">
      <c r="D30" s="1">
        <v>29</v>
      </c>
      <c r="E30" s="4">
        <f t="shared" si="5"/>
        <v>0.92309410355839283</v>
      </c>
      <c r="F30" s="2">
        <f t="shared" si="6"/>
        <v>1.0090205649304002E-9</v>
      </c>
      <c r="G30" s="3">
        <f t="shared" si="2"/>
        <v>0.99999999899097947</v>
      </c>
    </row>
    <row r="31" spans="1:7" x14ac:dyDescent="0.3">
      <c r="D31" s="1">
        <v>30</v>
      </c>
      <c r="E31" s="4">
        <f t="shared" si="5"/>
        <v>0.93304958916533676</v>
      </c>
      <c r="F31" s="2">
        <f t="shared" si="6"/>
        <v>4.9395760188312121E-10</v>
      </c>
      <c r="G31" s="3">
        <f t="shared" si="2"/>
        <v>0.99999999950604235</v>
      </c>
    </row>
    <row r="32" spans="1:7" x14ac:dyDescent="0.3">
      <c r="D32" s="1">
        <v>31</v>
      </c>
      <c r="E32" s="4">
        <f t="shared" si="5"/>
        <v>0.9417491148509759</v>
      </c>
      <c r="F32" s="2">
        <f t="shared" si="6"/>
        <v>2.4181282417663661E-10</v>
      </c>
      <c r="G32" s="3">
        <f t="shared" si="2"/>
        <v>0.99999999975818721</v>
      </c>
    </row>
    <row r="33" spans="4:7" x14ac:dyDescent="0.3">
      <c r="D33" s="1">
        <v>32</v>
      </c>
      <c r="E33" s="4">
        <f t="shared" ref="E33:E41" si="7">(1-EXP(-C$2*D33))^A$2</f>
        <v>0.94934293818711291</v>
      </c>
      <c r="F33" s="2">
        <f t="shared" ref="F33:F41" si="8">(EXP(-C$2*D33))^A$2</f>
        <v>1.1837745124958411E-10</v>
      </c>
      <c r="G33" s="3">
        <f t="shared" si="2"/>
        <v>0.99999999988162258</v>
      </c>
    </row>
    <row r="34" spans="4:7" x14ac:dyDescent="0.3">
      <c r="D34" s="1">
        <v>33</v>
      </c>
      <c r="E34" s="4">
        <f t="shared" si="7"/>
        <v>0.95596542229676151</v>
      </c>
      <c r="F34" s="2">
        <f t="shared" si="8"/>
        <v>5.7950693938843659E-11</v>
      </c>
      <c r="G34" s="3">
        <f t="shared" si="2"/>
        <v>0.99999999994204936</v>
      </c>
    </row>
    <row r="35" spans="4:7" x14ac:dyDescent="0.3">
      <c r="D35" s="1">
        <v>34</v>
      </c>
      <c r="E35" s="4">
        <f t="shared" si="7"/>
        <v>0.96173616585263089</v>
      </c>
      <c r="F35" s="2">
        <f t="shared" si="8"/>
        <v>2.8369278883298653E-11</v>
      </c>
      <c r="G35" s="3">
        <f t="shared" si="2"/>
        <v>0.99999999997163069</v>
      </c>
    </row>
    <row r="36" spans="4:7" x14ac:dyDescent="0.3">
      <c r="D36" s="1">
        <v>35</v>
      </c>
      <c r="E36" s="4">
        <f t="shared" si="7"/>
        <v>0.96676121557087258</v>
      </c>
      <c r="F36" s="2">
        <f t="shared" si="8"/>
        <v>1.3887943864964018E-11</v>
      </c>
      <c r="G36" s="3">
        <f t="shared" si="2"/>
        <v>0.99999999998611211</v>
      </c>
    </row>
    <row r="37" spans="4:7" x14ac:dyDescent="0.3">
      <c r="D37" s="1">
        <v>36</v>
      </c>
      <c r="E37" s="4">
        <f t="shared" si="7"/>
        <v>0.97113429649312266</v>
      </c>
      <c r="F37" s="2">
        <f t="shared" si="8"/>
        <v>6.7987270874883088E-12</v>
      </c>
      <c r="G37" s="3">
        <f t="shared" si="2"/>
        <v>0.99999999999320133</v>
      </c>
    </row>
    <row r="38" spans="4:7" x14ac:dyDescent="0.3">
      <c r="D38" s="1">
        <v>37</v>
      </c>
      <c r="E38" s="4">
        <f t="shared" si="7"/>
        <v>0.97493801588882645</v>
      </c>
      <c r="F38" s="2">
        <f t="shared" si="8"/>
        <v>3.3282601412838301E-12</v>
      </c>
      <c r="G38" s="3">
        <f t="shared" si="2"/>
        <v>0.99999999999667177</v>
      </c>
    </row>
    <row r="39" spans="4:7" x14ac:dyDescent="0.3">
      <c r="D39" s="1">
        <v>38</v>
      </c>
      <c r="E39" s="4">
        <f t="shared" si="7"/>
        <v>0.97824501193805147</v>
      </c>
      <c r="F39" s="2">
        <f t="shared" si="8"/>
        <v>1.6293219930013502E-12</v>
      </c>
      <c r="G39" s="3">
        <f t="shared" si="2"/>
        <v>0.99999999999837064</v>
      </c>
    </row>
    <row r="40" spans="4:7" x14ac:dyDescent="0.3">
      <c r="D40" s="1">
        <v>39</v>
      </c>
      <c r="E40" s="4">
        <f t="shared" si="7"/>
        <v>0.98111902961622777</v>
      </c>
      <c r="F40" s="2">
        <f t="shared" si="8"/>
        <v>7.9762099240652202E-13</v>
      </c>
      <c r="G40" s="3">
        <f t="shared" si="2"/>
        <v>0.99999999999920242</v>
      </c>
    </row>
    <row r="41" spans="4:7" x14ac:dyDescent="0.3">
      <c r="D41" s="1">
        <v>40</v>
      </c>
      <c r="E41" s="4">
        <f t="shared" si="7"/>
        <v>0.98361591433196982</v>
      </c>
      <c r="F41" s="2">
        <f t="shared" si="8"/>
        <v>3.9046870432015346E-13</v>
      </c>
      <c r="G41" s="3">
        <f t="shared" si="2"/>
        <v>0.99999999999960953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845BA-3B10-4A8B-A67A-031295F79DDF}">
  <dimension ref="A1:I2"/>
  <sheetViews>
    <sheetView tabSelected="1" workbookViewId="0">
      <selection activeCell="F8" sqref="F8"/>
    </sheetView>
  </sheetViews>
  <sheetFormatPr defaultRowHeight="14.4" x14ac:dyDescent="0.3"/>
  <cols>
    <col min="5" max="5" width="12.88671875" customWidth="1"/>
    <col min="6" max="6" width="16.77734375" customWidth="1"/>
    <col min="7" max="7" width="17.109375" customWidth="1"/>
    <col min="8" max="8" width="15.33203125" customWidth="1"/>
    <col min="9" max="9" width="6.33203125" customWidth="1"/>
    <col min="11" max="11" width="12" bestFit="1" customWidth="1"/>
  </cols>
  <sheetData>
    <row r="1" spans="1:9" x14ac:dyDescent="0.3">
      <c r="A1" t="s">
        <v>15</v>
      </c>
      <c r="B1" t="s">
        <v>2</v>
      </c>
      <c r="C1" t="s">
        <v>16</v>
      </c>
      <c r="D1" t="s">
        <v>20</v>
      </c>
      <c r="E1" t="s">
        <v>17</v>
      </c>
      <c r="F1" t="s">
        <v>18</v>
      </c>
      <c r="G1" t="s">
        <v>19</v>
      </c>
      <c r="H1" t="s">
        <v>22</v>
      </c>
      <c r="I1" s="5" t="s">
        <v>21</v>
      </c>
    </row>
    <row r="2" spans="1:9" x14ac:dyDescent="0.3">
      <c r="A2">
        <v>7</v>
      </c>
      <c r="B2">
        <f>5*60</f>
        <v>300</v>
      </c>
      <c r="C2">
        <v>5</v>
      </c>
      <c r="D2">
        <f>10*C2</f>
        <v>50</v>
      </c>
      <c r="E2">
        <v>7</v>
      </c>
      <c r="F2">
        <f>(D2*A2)/B2</f>
        <v>1.1666666666666667</v>
      </c>
      <c r="G2">
        <f>(E2*A2)/B2</f>
        <v>0.16333333333333333</v>
      </c>
      <c r="H2">
        <f>F2-G2</f>
        <v>1.0033333333333334</v>
      </c>
      <c r="I2">
        <f>H2/F2</f>
        <v>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Artemer</dc:creator>
  <cp:lastModifiedBy>Dmitry</cp:lastModifiedBy>
  <dcterms:created xsi:type="dcterms:W3CDTF">2024-10-11T10:55:54Z</dcterms:created>
  <dcterms:modified xsi:type="dcterms:W3CDTF">2025-11-21T09:31:25Z</dcterms:modified>
</cp:coreProperties>
</file>