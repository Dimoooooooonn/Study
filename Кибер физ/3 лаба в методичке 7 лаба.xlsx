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ilim\Desktop\"/>
    </mc:Choice>
  </mc:AlternateContent>
  <xr:revisionPtr revIDLastSave="0" documentId="13_ncr:1_{C015EB33-6DD8-4DCE-8DA6-481DC19AEA98}" xr6:coauthVersionLast="47" xr6:coauthVersionMax="47" xr10:uidLastSave="{00000000-0000-0000-0000-000000000000}"/>
  <bookViews>
    <workbookView xWindow="-120" yWindow="-120" windowWidth="29040" windowHeight="15990" activeTab="4" xr2:uid="{204A04D1-E1E4-4B3D-A404-03DEBDA79D09}"/>
  </bookViews>
  <sheets>
    <sheet name="1" sheetId="1" r:id="rId1"/>
    <sheet name="2" sheetId="2" r:id="rId2"/>
    <sheet name="3" sheetId="3" r:id="rId3"/>
    <sheet name="4" sheetId="4" r:id="rId4"/>
    <sheet name="5" sheetId="5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5" l="1"/>
  <c r="I5" i="5" s="1"/>
  <c r="V2" i="5"/>
  <c r="C19" i="5"/>
  <c r="G19" i="5" s="1"/>
  <c r="I20" i="5" s="1"/>
  <c r="A4" i="4"/>
  <c r="E4" i="4" s="1"/>
  <c r="E4" i="2"/>
  <c r="C4" i="2"/>
  <c r="C4" i="1"/>
  <c r="E4" i="1"/>
  <c r="E4" i="3"/>
  <c r="I27" i="5" l="1"/>
  <c r="I26" i="5"/>
  <c r="I25" i="5"/>
  <c r="I28" i="5"/>
  <c r="I24" i="5"/>
  <c r="I29" i="5"/>
  <c r="I23" i="5"/>
  <c r="I19" i="5"/>
  <c r="I22" i="5"/>
  <c r="I21" i="5"/>
  <c r="I4" i="5"/>
  <c r="I12" i="5"/>
  <c r="I10" i="5"/>
  <c r="I7" i="5"/>
  <c r="I6" i="5"/>
  <c r="I14" i="5"/>
  <c r="I13" i="5"/>
  <c r="I11" i="5"/>
  <c r="I9" i="5"/>
  <c r="I8" i="5"/>
</calcChain>
</file>

<file path=xl/sharedStrings.xml><?xml version="1.0" encoding="utf-8"?>
<sst xmlns="http://schemas.openxmlformats.org/spreadsheetml/2006/main" count="24" uniqueCount="12">
  <si>
    <t>Время формирования пакета, с</t>
  </si>
  <si>
    <t>Полоса передачи кодека, Кбит/с</t>
  </si>
  <si>
    <t>Ср время занятия интерфейса маршрутизатора, с</t>
  </si>
  <si>
    <t>ts время занятия интерфейса маршрутизатора, с</t>
  </si>
  <si>
    <t>Интерфейс</t>
  </si>
  <si>
    <t>Время t, с</t>
  </si>
  <si>
    <t>Функция распределения времени</t>
  </si>
  <si>
    <t>Общая длина пакета, Бит</t>
  </si>
  <si>
    <t>Длина пакета, Бит</t>
  </si>
  <si>
    <t>Скорость обслуживания, Бит/с</t>
  </si>
  <si>
    <t>Скорость, Бит/с</t>
  </si>
  <si>
    <t>Интенсивность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</si>
</sst>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8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8" fontId="0" fillId="0" borderId="2" xfId="0" applyNumberFormat="1" applyBorder="1" applyAlignment="1">
      <alignment horizontal="center"/>
    </xf>
    <xf numFmtId="168" fontId="0" fillId="0" borderId="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0" xfId="0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'5'!$K$19:$L$29</c:f>
              <c:strCache>
                <c:ptCount val="11"/>
                <c:pt idx="0">
                  <c:v>0</c:v>
                </c:pt>
                <c:pt idx="1">
                  <c:v>0,0001</c:v>
                </c:pt>
                <c:pt idx="2">
                  <c:v>0,0002</c:v>
                </c:pt>
                <c:pt idx="3">
                  <c:v>0,0003</c:v>
                </c:pt>
                <c:pt idx="4">
                  <c:v>0,0004</c:v>
                </c:pt>
                <c:pt idx="5">
                  <c:v>0,0005</c:v>
                </c:pt>
                <c:pt idx="6">
                  <c:v>0,0006</c:v>
                </c:pt>
                <c:pt idx="7">
                  <c:v>0,0007</c:v>
                </c:pt>
                <c:pt idx="8">
                  <c:v>0,0008</c:v>
                </c:pt>
                <c:pt idx="9">
                  <c:v>0,0009</c:v>
                </c:pt>
                <c:pt idx="10">
                  <c:v>0,001</c:v>
                </c:pt>
              </c:strCache>
            </c:strRef>
          </c:cat>
          <c:val>
            <c:numRef>
              <c:f>'5'!$I$19:$I$29</c:f>
              <c:numCache>
                <c:formatCode>General</c:formatCode>
                <c:ptCount val="11"/>
                <c:pt idx="0">
                  <c:v>0</c:v>
                </c:pt>
                <c:pt idx="1">
                  <c:v>0.17843225549402686</c:v>
                </c:pt>
                <c:pt idx="2">
                  <c:v>0.32502644118736801</c:v>
                </c:pt>
                <c:pt idx="3">
                  <c:v>0.4454634956851361</c:v>
                </c:pt>
                <c:pt idx="4">
                  <c:v>0.54441069490381055</c:v>
                </c:pt>
                <c:pt idx="5">
                  <c:v>0.62570252219107991</c:v>
                </c:pt>
                <c:pt idx="6">
                  <c:v>0.69248926538225097</c:v>
                </c:pt>
                <c:pt idx="7">
                  <c:v>0.74735909934872113</c:v>
                </c:pt>
                <c:pt idx="8">
                  <c:v>0.79243838508197117</c:v>
                </c:pt>
                <c:pt idx="9">
                  <c:v>0.82947407218577773</c:v>
                </c:pt>
                <c:pt idx="10">
                  <c:v>0.85990139810588095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6-4A23-B2A3-8B78AC28E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2018431"/>
        <c:axId val="129201468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'5'!$K$19:$L$29</c15:sqref>
                        </c15:formulaRef>
                      </c:ext>
                    </c:extLst>
                    <c:strCache>
                      <c:ptCount val="11"/>
                      <c:pt idx="0">
                        <c:v>0</c:v>
                      </c:pt>
                      <c:pt idx="1">
                        <c:v>0,0001</c:v>
                      </c:pt>
                      <c:pt idx="2">
                        <c:v>0,0002</c:v>
                      </c:pt>
                      <c:pt idx="3">
                        <c:v>0,0003</c:v>
                      </c:pt>
                      <c:pt idx="4">
                        <c:v>0,0004</c:v>
                      </c:pt>
                      <c:pt idx="5">
                        <c:v>0,0005</c:v>
                      </c:pt>
                      <c:pt idx="6">
                        <c:v>0,0006</c:v>
                      </c:pt>
                      <c:pt idx="7">
                        <c:v>0,0007</c:v>
                      </c:pt>
                      <c:pt idx="8">
                        <c:v>0,0008</c:v>
                      </c:pt>
                      <c:pt idx="9">
                        <c:v>0,0009</c:v>
                      </c:pt>
                      <c:pt idx="10">
                        <c:v>0,001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'5'!$J$19:$J$29</c15:sqref>
                        </c15:formulaRef>
                      </c:ext>
                    </c:extLst>
                    <c:numCache>
                      <c:formatCode>General</c:formatCode>
                      <c:ptCount val="11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06-4A23-B2A3-8B78AC28E5F9}"/>
                  </c:ext>
                </c:extLst>
              </c15:ser>
            </c15:filteredLineSeries>
          </c:ext>
        </c:extLst>
      </c:lineChart>
      <c:catAx>
        <c:axId val="129201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2014687"/>
        <c:crosses val="autoZero"/>
        <c:auto val="1"/>
        <c:lblAlgn val="ctr"/>
        <c:lblOffset val="100"/>
        <c:noMultiLvlLbl val="0"/>
      </c:catAx>
      <c:valAx>
        <c:axId val="1292014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2018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61592300962375E-2"/>
          <c:y val="7.8703703703703706E-2"/>
          <c:w val="0.8966272965879265"/>
          <c:h val="0.73577136191309422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'5'!$K$4:$L$14</c:f>
              <c:strCache>
                <c:ptCount val="11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</c:strCache>
            </c:strRef>
          </c:cat>
          <c:val>
            <c:numRef>
              <c:f>'5'!$I$4:$I$14</c:f>
              <c:numCache>
                <c:formatCode>General</c:formatCode>
                <c:ptCount val="11"/>
                <c:pt idx="0">
                  <c:v>0</c:v>
                </c:pt>
                <c:pt idx="1">
                  <c:v>0.32670359327284115</c:v>
                </c:pt>
                <c:pt idx="2">
                  <c:v>0.54667194868829627</c:v>
                </c:pt>
                <c:pt idx="3">
                  <c:v>0.6947758519832048</c:v>
                </c:pt>
                <c:pt idx="4">
                  <c:v>0.79449367789393333</c:v>
                </c:pt>
                <c:pt idx="5">
                  <c:v>0.86163333176627122</c:v>
                </c:pt>
                <c:pt idx="6">
                  <c:v>0.90683821946742149</c:v>
                </c:pt>
                <c:pt idx="7">
                  <c:v>0.93727450792311073</c:v>
                </c:pt>
                <c:pt idx="8">
                  <c:v>0.95776715157443759</c:v>
                </c:pt>
                <c:pt idx="9">
                  <c:v>0.97156477490921611</c:v>
                </c:pt>
                <c:pt idx="10">
                  <c:v>0.98085466512189723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1C-4AEC-B443-B10EF01652E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'5'!$K$4:$L$14</c:f>
              <c:strCache>
                <c:ptCount val="11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</c:strCache>
            </c:strRef>
          </c:cat>
          <c:val>
            <c:numRef>
              <c:f>'5'!$J$4:$J$14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1C-4AEC-B443-B10EF0165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9711727"/>
        <c:axId val="1289712143"/>
      </c:lineChart>
      <c:catAx>
        <c:axId val="128971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89712143"/>
        <c:crosses val="autoZero"/>
        <c:auto val="1"/>
        <c:lblAlgn val="ctr"/>
        <c:lblOffset val="100"/>
        <c:noMultiLvlLbl val="0"/>
      </c:catAx>
      <c:valAx>
        <c:axId val="1289712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89711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16</xdr:row>
      <xdr:rowOff>46566</xdr:rowOff>
    </xdr:from>
    <xdr:to>
      <xdr:col>19</xdr:col>
      <xdr:colOff>560917</xdr:colOff>
      <xdr:row>30</xdr:row>
      <xdr:rowOff>122766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266CAE7B-9AC4-4BAC-B155-F79457510E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238125</xdr:colOff>
      <xdr:row>0</xdr:row>
      <xdr:rowOff>158750</xdr:rowOff>
    </xdr:from>
    <xdr:to>
      <xdr:col>19</xdr:col>
      <xdr:colOff>513292</xdr:colOff>
      <xdr:row>15</xdr:row>
      <xdr:rowOff>44450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18B49F3E-EE74-4628-B590-B13ACDF325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rtemer/Downloads/Telegram%20Desktop/&#1082;&#1092;&#1089;_&#1083;&#1088;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44">
          <cell r="M44">
            <v>0</v>
          </cell>
          <cell r="O44">
            <v>0</v>
          </cell>
        </row>
        <row r="45">
          <cell r="M45">
            <v>9.9999999999999995E-8</v>
          </cell>
          <cell r="O45">
            <v>0.22926961876825236</v>
          </cell>
        </row>
        <row r="46">
          <cell r="M46">
            <v>1.9999999999999999E-7</v>
          </cell>
          <cell r="O46">
            <v>0.40597467944636489</v>
          </cell>
        </row>
        <row r="47">
          <cell r="M47">
            <v>2.9999999999999999E-7</v>
          </cell>
          <cell r="O47">
            <v>0.54216663822838573</v>
          </cell>
        </row>
        <row r="48">
          <cell r="M48">
            <v>3.9999999999999998E-7</v>
          </cell>
          <cell r="O48">
            <v>0.6471339185411511</v>
          </cell>
        </row>
        <row r="49">
          <cell r="M49">
            <v>4.9999999999999998E-7</v>
          </cell>
          <cell r="O49">
            <v>0.72803539051346844</v>
          </cell>
        </row>
        <row r="50">
          <cell r="M50">
            <v>5.9999999999999997E-7</v>
          </cell>
          <cell r="O50">
            <v>0.79038861284890216</v>
          </cell>
        </row>
        <row r="51">
          <cell r="M51">
            <v>6.9999999999999997E-7</v>
          </cell>
          <cell r="O51">
            <v>0.83844613567051884</v>
          </cell>
        </row>
        <row r="52">
          <cell r="M52">
            <v>7.9999999999999996E-7</v>
          </cell>
          <cell r="O52">
            <v>0.87548552855587691</v>
          </cell>
        </row>
        <row r="53">
          <cell r="M53">
            <v>8.9999999999999996E-7</v>
          </cell>
          <cell r="O53">
            <v>0.90403291395500152</v>
          </cell>
        </row>
        <row r="54">
          <cell r="M54">
            <v>9.9999999999999995E-7</v>
          </cell>
          <cell r="O54">
            <v>0.92603525118683838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DAC2-207E-4AE8-A7E1-2858C9154FE5}">
  <dimension ref="A1:F4"/>
  <sheetViews>
    <sheetView workbookViewId="0">
      <selection activeCell="E4" sqref="E4:F4"/>
    </sheetView>
  </sheetViews>
  <sheetFormatPr defaultRowHeight="15" x14ac:dyDescent="0.25"/>
  <cols>
    <col min="2" max="2" width="10" bestFit="1" customWidth="1"/>
  </cols>
  <sheetData>
    <row r="1" spans="1:6" x14ac:dyDescent="0.25">
      <c r="A1" s="2" t="s">
        <v>0</v>
      </c>
      <c r="B1" s="2"/>
      <c r="C1" s="2" t="s">
        <v>7</v>
      </c>
      <c r="D1" s="2"/>
      <c r="E1" s="2" t="s">
        <v>1</v>
      </c>
      <c r="F1" s="2"/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3">
        <v>0.03</v>
      </c>
      <c r="B4" s="3"/>
      <c r="C4" s="3">
        <f>158*8</f>
        <v>1264</v>
      </c>
      <c r="D4" s="3"/>
      <c r="E4" s="4">
        <f>C4/A4/1000</f>
        <v>42.133333333333333</v>
      </c>
      <c r="F4" s="4"/>
    </row>
  </sheetData>
  <mergeCells count="6">
    <mergeCell ref="A1:B3"/>
    <mergeCell ref="A4:B4"/>
    <mergeCell ref="C1:D3"/>
    <mergeCell ref="C4:D4"/>
    <mergeCell ref="E1:F3"/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8F117-773C-4783-921E-F2602F09A077}">
  <dimension ref="A1:F4"/>
  <sheetViews>
    <sheetView workbookViewId="0">
      <selection activeCell="E4" sqref="E4:F4"/>
    </sheetView>
  </sheetViews>
  <sheetFormatPr defaultRowHeight="15" x14ac:dyDescent="0.25"/>
  <sheetData>
    <row r="1" spans="1:6" x14ac:dyDescent="0.25">
      <c r="A1" s="2" t="s">
        <v>0</v>
      </c>
      <c r="B1" s="2"/>
      <c r="C1" s="2" t="s">
        <v>7</v>
      </c>
      <c r="D1" s="2"/>
      <c r="E1" s="2" t="s">
        <v>1</v>
      </c>
      <c r="F1" s="2"/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3">
        <v>0.01</v>
      </c>
      <c r="B4" s="3"/>
      <c r="C4" s="3">
        <f>318*8</f>
        <v>2544</v>
      </c>
      <c r="D4" s="3"/>
      <c r="E4" s="4">
        <f>C4/A4/1000</f>
        <v>254.4</v>
      </c>
      <c r="F4" s="4"/>
    </row>
  </sheetData>
  <mergeCells count="6">
    <mergeCell ref="A1:B3"/>
    <mergeCell ref="C1:D3"/>
    <mergeCell ref="E1:F3"/>
    <mergeCell ref="A4:B4"/>
    <mergeCell ref="C4:D4"/>
    <mergeCell ref="E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9C12A-C057-4661-8314-CF59A6C20DCA}">
  <dimension ref="A1:F4"/>
  <sheetViews>
    <sheetView workbookViewId="0">
      <selection activeCell="E4" sqref="E4:F4"/>
    </sheetView>
  </sheetViews>
  <sheetFormatPr defaultRowHeight="15" x14ac:dyDescent="0.25"/>
  <sheetData>
    <row r="1" spans="1:6" x14ac:dyDescent="0.25">
      <c r="A1" s="5" t="s">
        <v>8</v>
      </c>
      <c r="B1" s="6"/>
      <c r="C1" s="2" t="s">
        <v>9</v>
      </c>
      <c r="D1" s="2"/>
      <c r="E1" s="2" t="s">
        <v>3</v>
      </c>
      <c r="F1" s="2"/>
    </row>
    <row r="2" spans="1:6" x14ac:dyDescent="0.25">
      <c r="A2" s="7"/>
      <c r="B2" s="8"/>
      <c r="C2" s="2"/>
      <c r="D2" s="2"/>
      <c r="E2" s="2"/>
      <c r="F2" s="2"/>
    </row>
    <row r="3" spans="1:6" x14ac:dyDescent="0.25">
      <c r="A3" s="9"/>
      <c r="B3" s="10"/>
      <c r="C3" s="2"/>
      <c r="D3" s="2"/>
      <c r="E3" s="2"/>
      <c r="F3" s="2"/>
    </row>
    <row r="4" spans="1:6" x14ac:dyDescent="0.25">
      <c r="A4" s="11">
        <v>1264</v>
      </c>
      <c r="B4" s="12"/>
      <c r="C4" s="3">
        <v>5000000</v>
      </c>
      <c r="D4" s="3"/>
      <c r="E4" s="11">
        <f>A4/C4</f>
        <v>2.5280000000000002E-4</v>
      </c>
      <c r="F4" s="12"/>
    </row>
  </sheetData>
  <mergeCells count="6">
    <mergeCell ref="A1:B3"/>
    <mergeCell ref="C1:D3"/>
    <mergeCell ref="E1:F3"/>
    <mergeCell ref="A4:B4"/>
    <mergeCell ref="C4:D4"/>
    <mergeCell ref="E4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E3B6-40B0-46B1-9562-61B140DB775B}">
  <dimension ref="A1:F4"/>
  <sheetViews>
    <sheetView workbookViewId="0">
      <selection activeCell="E4" sqref="E4:F4"/>
    </sheetView>
  </sheetViews>
  <sheetFormatPr defaultRowHeight="15" x14ac:dyDescent="0.25"/>
  <sheetData>
    <row r="1" spans="1:6" x14ac:dyDescent="0.25">
      <c r="A1" s="5" t="s">
        <v>8</v>
      </c>
      <c r="B1" s="6"/>
      <c r="C1" s="2" t="s">
        <v>9</v>
      </c>
      <c r="D1" s="2"/>
      <c r="E1" s="2" t="s">
        <v>2</v>
      </c>
      <c r="F1" s="2"/>
    </row>
    <row r="2" spans="1:6" x14ac:dyDescent="0.25">
      <c r="A2" s="7"/>
      <c r="B2" s="8"/>
      <c r="C2" s="2"/>
      <c r="D2" s="2"/>
      <c r="E2" s="2"/>
      <c r="F2" s="2"/>
    </row>
    <row r="3" spans="1:6" x14ac:dyDescent="0.25">
      <c r="A3" s="9"/>
      <c r="B3" s="10"/>
      <c r="C3" s="2"/>
      <c r="D3" s="2"/>
      <c r="E3" s="2"/>
      <c r="F3" s="2"/>
    </row>
    <row r="4" spans="1:6" x14ac:dyDescent="0.25">
      <c r="A4" s="11">
        <f>2544</f>
        <v>2544</v>
      </c>
      <c r="B4" s="12"/>
      <c r="C4" s="3">
        <v>5000000</v>
      </c>
      <c r="D4" s="3"/>
      <c r="E4" s="11">
        <f>A4/C4</f>
        <v>5.0880000000000001E-4</v>
      </c>
      <c r="F4" s="12"/>
    </row>
  </sheetData>
  <mergeCells count="6">
    <mergeCell ref="A1:B3"/>
    <mergeCell ref="C1:D3"/>
    <mergeCell ref="E1:F3"/>
    <mergeCell ref="A4:B4"/>
    <mergeCell ref="C4:D4"/>
    <mergeCell ref="E4:F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E2066-09F1-4D2C-AF18-8AA8BCDB6B24}">
  <dimension ref="A1:V29"/>
  <sheetViews>
    <sheetView tabSelected="1" zoomScale="90" zoomScaleNormal="90" workbookViewId="0">
      <selection activeCell="U34" sqref="U34"/>
    </sheetView>
  </sheetViews>
  <sheetFormatPr defaultRowHeight="15" x14ac:dyDescent="0.25"/>
  <cols>
    <col min="11" max="12" width="9.140625" style="1"/>
  </cols>
  <sheetData>
    <row r="1" spans="1:22" x14ac:dyDescent="0.25">
      <c r="A1" s="2" t="s">
        <v>4</v>
      </c>
      <c r="B1" s="2"/>
      <c r="C1" s="5" t="s">
        <v>8</v>
      </c>
      <c r="D1" s="6"/>
      <c r="E1" s="2" t="s">
        <v>10</v>
      </c>
      <c r="F1" s="2"/>
      <c r="G1" s="2" t="s">
        <v>11</v>
      </c>
      <c r="H1" s="2"/>
      <c r="I1" s="2" t="s">
        <v>6</v>
      </c>
      <c r="J1" s="2"/>
      <c r="K1" s="5" t="s">
        <v>5</v>
      </c>
      <c r="L1" s="6"/>
    </row>
    <row r="2" spans="1:22" x14ac:dyDescent="0.25">
      <c r="A2" s="2"/>
      <c r="B2" s="2"/>
      <c r="C2" s="7"/>
      <c r="D2" s="8"/>
      <c r="E2" s="2"/>
      <c r="F2" s="2"/>
      <c r="G2" s="2"/>
      <c r="H2" s="2"/>
      <c r="I2" s="2"/>
      <c r="J2" s="2"/>
      <c r="K2" s="7"/>
      <c r="L2" s="8"/>
      <c r="V2">
        <f>1</f>
        <v>1</v>
      </c>
    </row>
    <row r="3" spans="1:22" x14ac:dyDescent="0.25">
      <c r="A3" s="2"/>
      <c r="B3" s="2"/>
      <c r="C3" s="9"/>
      <c r="D3" s="10"/>
      <c r="E3" s="2"/>
      <c r="F3" s="2"/>
      <c r="G3" s="2"/>
      <c r="H3" s="2"/>
      <c r="I3" s="2"/>
      <c r="J3" s="2"/>
      <c r="K3" s="9"/>
      <c r="L3" s="10"/>
    </row>
    <row r="4" spans="1:22" x14ac:dyDescent="0.25">
      <c r="A4" s="3">
        <v>1</v>
      </c>
      <c r="B4" s="3"/>
      <c r="C4" s="11">
        <v>1264</v>
      </c>
      <c r="D4" s="12"/>
      <c r="E4" s="3">
        <v>5000000</v>
      </c>
      <c r="F4" s="3"/>
      <c r="G4" s="15">
        <f>E4/C4</f>
        <v>3955.6962025316457</v>
      </c>
      <c r="H4" s="15"/>
      <c r="I4" s="3">
        <f>1 -EXP(1)^(-G$4*K4)</f>
        <v>0</v>
      </c>
      <c r="J4" s="3"/>
      <c r="K4" s="13">
        <v>0</v>
      </c>
      <c r="L4" s="14"/>
    </row>
    <row r="5" spans="1:22" x14ac:dyDescent="0.25">
      <c r="A5" s="1"/>
      <c r="B5" s="1"/>
      <c r="C5" s="1"/>
      <c r="D5" s="1"/>
      <c r="E5" s="1"/>
      <c r="F5" s="1"/>
      <c r="G5" s="1"/>
      <c r="H5" s="1"/>
      <c r="I5" s="3">
        <f t="shared" ref="I5:I14" si="0">1 -EXP(1)^(-G$4*K5)</f>
        <v>0.32670359327284115</v>
      </c>
      <c r="J5" s="3"/>
      <c r="K5" s="16">
        <v>1E-4</v>
      </c>
      <c r="L5" s="17"/>
    </row>
    <row r="6" spans="1:22" x14ac:dyDescent="0.25">
      <c r="A6" s="1"/>
      <c r="B6" s="1"/>
      <c r="C6" s="1"/>
      <c r="D6" s="1"/>
      <c r="E6" s="1"/>
      <c r="F6" s="1"/>
      <c r="G6" s="1"/>
      <c r="H6" s="1"/>
      <c r="I6" s="3">
        <f t="shared" si="0"/>
        <v>0.54667194868829627</v>
      </c>
      <c r="J6" s="3"/>
      <c r="K6" s="16">
        <v>2.0000000000000001E-4</v>
      </c>
      <c r="L6" s="17"/>
    </row>
    <row r="7" spans="1:22" x14ac:dyDescent="0.25">
      <c r="A7" s="1"/>
      <c r="B7" s="1"/>
      <c r="C7" s="1"/>
      <c r="D7" s="1"/>
      <c r="E7" s="1"/>
      <c r="F7" s="1"/>
      <c r="G7" s="1"/>
      <c r="H7" s="1"/>
      <c r="I7" s="3">
        <f t="shared" si="0"/>
        <v>0.6947758519832048</v>
      </c>
      <c r="J7" s="3"/>
      <c r="K7" s="16">
        <v>2.9999999999999997E-4</v>
      </c>
      <c r="L7" s="17"/>
    </row>
    <row r="8" spans="1:22" x14ac:dyDescent="0.25">
      <c r="A8" s="1"/>
      <c r="B8" s="1"/>
      <c r="C8" s="1"/>
      <c r="D8" s="1"/>
      <c r="E8" s="1"/>
      <c r="F8" s="1"/>
      <c r="G8" s="1"/>
      <c r="H8" s="1"/>
      <c r="I8" s="3">
        <f t="shared" si="0"/>
        <v>0.79449367789393333</v>
      </c>
      <c r="J8" s="3"/>
      <c r="K8" s="16">
        <v>4.0000000000000002E-4</v>
      </c>
      <c r="L8" s="17"/>
    </row>
    <row r="9" spans="1:22" x14ac:dyDescent="0.25">
      <c r="A9" s="1"/>
      <c r="B9" s="1"/>
      <c r="C9" s="1"/>
      <c r="D9" s="1"/>
      <c r="E9" s="1"/>
      <c r="F9" s="1"/>
      <c r="G9" s="1"/>
      <c r="H9" s="1"/>
      <c r="I9" s="3">
        <f t="shared" si="0"/>
        <v>0.86163333176627122</v>
      </c>
      <c r="J9" s="3"/>
      <c r="K9" s="16">
        <v>5.0000000000000001E-4</v>
      </c>
      <c r="L9" s="17"/>
    </row>
    <row r="10" spans="1:22" x14ac:dyDescent="0.25">
      <c r="A10" s="1"/>
      <c r="B10" s="1"/>
      <c r="C10" s="1"/>
      <c r="D10" s="1"/>
      <c r="E10" s="1"/>
      <c r="F10" s="1"/>
      <c r="G10" s="1"/>
      <c r="H10" s="1"/>
      <c r="I10" s="3">
        <f t="shared" si="0"/>
        <v>0.90683821946742149</v>
      </c>
      <c r="J10" s="3"/>
      <c r="K10" s="16">
        <v>5.9999999999999995E-4</v>
      </c>
      <c r="L10" s="17"/>
    </row>
    <row r="11" spans="1:22" x14ac:dyDescent="0.25">
      <c r="A11" s="1"/>
      <c r="B11" s="1"/>
      <c r="C11" s="1"/>
      <c r="D11" s="1"/>
      <c r="E11" s="1"/>
      <c r="F11" s="1"/>
      <c r="G11" s="1"/>
      <c r="H11" s="1"/>
      <c r="I11" s="3">
        <f t="shared" si="0"/>
        <v>0.93727450792311073</v>
      </c>
      <c r="J11" s="3"/>
      <c r="K11" s="16">
        <v>6.9999999999999999E-4</v>
      </c>
      <c r="L11" s="17"/>
    </row>
    <row r="12" spans="1:22" x14ac:dyDescent="0.25">
      <c r="A12" s="1"/>
      <c r="B12" s="1"/>
      <c r="C12" s="1"/>
      <c r="D12" s="1"/>
      <c r="E12" s="1"/>
      <c r="F12" s="1"/>
      <c r="G12" s="1"/>
      <c r="H12" s="1"/>
      <c r="I12" s="3">
        <f t="shared" si="0"/>
        <v>0.95776715157443759</v>
      </c>
      <c r="J12" s="3"/>
      <c r="K12" s="16">
        <v>8.0000000000000004E-4</v>
      </c>
      <c r="L12" s="17"/>
    </row>
    <row r="13" spans="1:22" x14ac:dyDescent="0.25">
      <c r="A13" s="1"/>
      <c r="B13" s="1"/>
      <c r="C13" s="1"/>
      <c r="D13" s="1"/>
      <c r="E13" s="1"/>
      <c r="F13" s="1"/>
      <c r="G13" s="1"/>
      <c r="H13" s="1"/>
      <c r="I13" s="3">
        <f t="shared" si="0"/>
        <v>0.97156477490921611</v>
      </c>
      <c r="J13" s="3"/>
      <c r="K13" s="16">
        <v>8.9999999999999998E-4</v>
      </c>
      <c r="L13" s="17"/>
    </row>
    <row r="14" spans="1:22" x14ac:dyDescent="0.25">
      <c r="A14" s="1"/>
      <c r="B14" s="1"/>
      <c r="C14" s="1"/>
      <c r="D14" s="1"/>
      <c r="E14" s="1"/>
      <c r="F14" s="1"/>
      <c r="G14" s="1"/>
      <c r="H14" s="1"/>
      <c r="I14" s="3">
        <f t="shared" si="0"/>
        <v>0.98085466512189723</v>
      </c>
      <c r="J14" s="3"/>
      <c r="K14" s="18">
        <v>1E-3</v>
      </c>
      <c r="L14" s="19"/>
    </row>
    <row r="16" spans="1:22" x14ac:dyDescent="0.25">
      <c r="A16" s="2" t="s">
        <v>4</v>
      </c>
      <c r="B16" s="2"/>
      <c r="C16" s="5" t="s">
        <v>8</v>
      </c>
      <c r="D16" s="6"/>
      <c r="E16" s="2" t="s">
        <v>10</v>
      </c>
      <c r="F16" s="2"/>
      <c r="G16" s="2" t="s">
        <v>11</v>
      </c>
      <c r="H16" s="2"/>
      <c r="I16" s="2" t="s">
        <v>6</v>
      </c>
      <c r="J16" s="2"/>
      <c r="K16" s="5" t="s">
        <v>5</v>
      </c>
      <c r="L16" s="6"/>
    </row>
    <row r="17" spans="1:12" x14ac:dyDescent="0.25">
      <c r="A17" s="2"/>
      <c r="B17" s="2"/>
      <c r="C17" s="7"/>
      <c r="D17" s="8"/>
      <c r="E17" s="2"/>
      <c r="F17" s="2"/>
      <c r="G17" s="2"/>
      <c r="H17" s="2"/>
      <c r="I17" s="2"/>
      <c r="J17" s="2"/>
      <c r="K17" s="7"/>
      <c r="L17" s="8"/>
    </row>
    <row r="18" spans="1:12" x14ac:dyDescent="0.25">
      <c r="A18" s="2"/>
      <c r="B18" s="2"/>
      <c r="C18" s="9"/>
      <c r="D18" s="10"/>
      <c r="E18" s="2"/>
      <c r="F18" s="2"/>
      <c r="G18" s="2"/>
      <c r="H18" s="2"/>
      <c r="I18" s="2"/>
      <c r="J18" s="2"/>
      <c r="K18" s="9"/>
      <c r="L18" s="10"/>
    </row>
    <row r="19" spans="1:12" x14ac:dyDescent="0.25">
      <c r="A19" s="3">
        <v>2</v>
      </c>
      <c r="B19" s="3"/>
      <c r="C19" s="11">
        <f>2544</f>
        <v>2544</v>
      </c>
      <c r="D19" s="12"/>
      <c r="E19" s="3">
        <v>5000000</v>
      </c>
      <c r="F19" s="3"/>
      <c r="G19" s="15">
        <f>(E19/C19)</f>
        <v>1965.4088050314465</v>
      </c>
      <c r="H19" s="15"/>
      <c r="I19" s="3">
        <f>1 -EXP(1)^(-G$19*K19)</f>
        <v>0</v>
      </c>
      <c r="J19" s="3"/>
      <c r="K19" s="13">
        <v>0</v>
      </c>
      <c r="L19" s="14"/>
    </row>
    <row r="20" spans="1:12" x14ac:dyDescent="0.25">
      <c r="A20" s="1"/>
      <c r="B20" s="1"/>
      <c r="C20" s="1"/>
      <c r="D20" s="1"/>
      <c r="E20" s="1"/>
      <c r="F20" s="1"/>
      <c r="G20" s="1"/>
      <c r="H20" s="1"/>
      <c r="I20" s="3">
        <f t="shared" ref="I20:I29" si="1">1 -EXP(1)^(-G$19*K20)</f>
        <v>0.17843225549402686</v>
      </c>
      <c r="J20" s="3"/>
      <c r="K20" s="16">
        <v>1E-4</v>
      </c>
      <c r="L20" s="17"/>
    </row>
    <row r="21" spans="1:12" x14ac:dyDescent="0.25">
      <c r="A21" s="1"/>
      <c r="B21" s="1"/>
      <c r="C21" s="1"/>
      <c r="D21" s="1"/>
      <c r="E21" s="1"/>
      <c r="F21" s="1"/>
      <c r="G21" s="1"/>
      <c r="H21" s="1"/>
      <c r="I21" s="3">
        <f t="shared" si="1"/>
        <v>0.32502644118736801</v>
      </c>
      <c r="J21" s="3"/>
      <c r="K21" s="16">
        <v>2.0000000000000001E-4</v>
      </c>
      <c r="L21" s="17"/>
    </row>
    <row r="22" spans="1:12" x14ac:dyDescent="0.25">
      <c r="A22" s="1"/>
      <c r="B22" s="1"/>
      <c r="C22" s="1"/>
      <c r="D22" s="1"/>
      <c r="E22" s="1"/>
      <c r="F22" s="1"/>
      <c r="G22" s="1"/>
      <c r="H22" s="1"/>
      <c r="I22" s="3">
        <f t="shared" si="1"/>
        <v>0.4454634956851361</v>
      </c>
      <c r="J22" s="3"/>
      <c r="K22" s="16">
        <v>2.9999999999999997E-4</v>
      </c>
      <c r="L22" s="17"/>
    </row>
    <row r="23" spans="1:12" x14ac:dyDescent="0.25">
      <c r="A23" s="1"/>
      <c r="B23" s="1"/>
      <c r="C23" s="1"/>
      <c r="D23" s="1"/>
      <c r="E23" s="1"/>
      <c r="F23" s="1"/>
      <c r="G23" s="1"/>
      <c r="H23" s="1"/>
      <c r="I23" s="3">
        <f t="shared" si="1"/>
        <v>0.54441069490381055</v>
      </c>
      <c r="J23" s="3"/>
      <c r="K23" s="16">
        <v>4.0000000000000002E-4</v>
      </c>
      <c r="L23" s="17"/>
    </row>
    <row r="24" spans="1:12" x14ac:dyDescent="0.25">
      <c r="A24" s="1"/>
      <c r="B24" s="1"/>
      <c r="C24" s="1"/>
      <c r="D24" s="1"/>
      <c r="E24" s="1"/>
      <c r="F24" s="20"/>
      <c r="G24" s="1"/>
      <c r="H24" s="1"/>
      <c r="I24" s="3">
        <f t="shared" si="1"/>
        <v>0.62570252219107991</v>
      </c>
      <c r="J24" s="3"/>
      <c r="K24" s="16">
        <v>5.0000000000000001E-4</v>
      </c>
      <c r="L24" s="17"/>
    </row>
    <row r="25" spans="1:12" x14ac:dyDescent="0.25">
      <c r="A25" s="1"/>
      <c r="B25" s="1"/>
      <c r="C25" s="1"/>
      <c r="D25" s="1"/>
      <c r="E25" s="1"/>
      <c r="F25" s="1"/>
      <c r="G25" s="1"/>
      <c r="H25" s="1"/>
      <c r="I25" s="3">
        <f t="shared" si="1"/>
        <v>0.69248926538225097</v>
      </c>
      <c r="J25" s="3"/>
      <c r="K25" s="16">
        <v>5.9999999999999995E-4</v>
      </c>
      <c r="L25" s="17"/>
    </row>
    <row r="26" spans="1:12" x14ac:dyDescent="0.25">
      <c r="A26" s="1"/>
      <c r="B26" s="1"/>
      <c r="C26" s="1"/>
      <c r="D26" s="1"/>
      <c r="E26" s="1"/>
      <c r="F26" s="1"/>
      <c r="G26" s="1"/>
      <c r="H26" s="1"/>
      <c r="I26" s="3">
        <f t="shared" si="1"/>
        <v>0.74735909934872113</v>
      </c>
      <c r="J26" s="3"/>
      <c r="K26" s="16">
        <v>6.9999999999999999E-4</v>
      </c>
      <c r="L26" s="17"/>
    </row>
    <row r="27" spans="1:12" x14ac:dyDescent="0.25">
      <c r="A27" s="1"/>
      <c r="B27" s="1"/>
      <c r="C27" s="1"/>
      <c r="D27" s="1"/>
      <c r="E27" s="1"/>
      <c r="F27" s="1"/>
      <c r="G27" s="1"/>
      <c r="H27" s="1"/>
      <c r="I27" s="3">
        <f t="shared" si="1"/>
        <v>0.79243838508197117</v>
      </c>
      <c r="J27" s="3"/>
      <c r="K27" s="16">
        <v>8.0000000000000004E-4</v>
      </c>
      <c r="L27" s="17"/>
    </row>
    <row r="28" spans="1:12" x14ac:dyDescent="0.25">
      <c r="A28" s="1"/>
      <c r="B28" s="1"/>
      <c r="C28" s="1"/>
      <c r="D28" s="1"/>
      <c r="E28" s="1"/>
      <c r="F28" s="1"/>
      <c r="G28" s="1"/>
      <c r="H28" s="1"/>
      <c r="I28" s="3">
        <f t="shared" si="1"/>
        <v>0.82947407218577773</v>
      </c>
      <c r="J28" s="3"/>
      <c r="K28" s="16">
        <v>8.9999999999999998E-4</v>
      </c>
      <c r="L28" s="17"/>
    </row>
    <row r="29" spans="1:12" x14ac:dyDescent="0.25">
      <c r="A29" s="1"/>
      <c r="B29" s="1"/>
      <c r="C29" s="1"/>
      <c r="D29" s="1"/>
      <c r="E29" s="1"/>
      <c r="F29" s="1"/>
      <c r="G29" s="1"/>
      <c r="H29" s="1"/>
      <c r="I29" s="3">
        <f t="shared" si="1"/>
        <v>0.85990139810588095</v>
      </c>
      <c r="J29" s="3"/>
      <c r="K29" s="18">
        <v>1E-3</v>
      </c>
      <c r="L29" s="19"/>
    </row>
  </sheetData>
  <mergeCells count="64">
    <mergeCell ref="K26:L26"/>
    <mergeCell ref="K27:L27"/>
    <mergeCell ref="K28:L28"/>
    <mergeCell ref="K29:L29"/>
    <mergeCell ref="K21:L21"/>
    <mergeCell ref="K22:L22"/>
    <mergeCell ref="K23:L23"/>
    <mergeCell ref="K24:L24"/>
    <mergeCell ref="K25:L25"/>
    <mergeCell ref="K13:L13"/>
    <mergeCell ref="K14:L14"/>
    <mergeCell ref="K16:L18"/>
    <mergeCell ref="K19:L19"/>
    <mergeCell ref="K20:L20"/>
    <mergeCell ref="K8:L8"/>
    <mergeCell ref="K9:L9"/>
    <mergeCell ref="K10:L10"/>
    <mergeCell ref="K11:L11"/>
    <mergeCell ref="K12:L12"/>
    <mergeCell ref="K1:L3"/>
    <mergeCell ref="K4:L4"/>
    <mergeCell ref="K5:L5"/>
    <mergeCell ref="K6:L6"/>
    <mergeCell ref="K7:L7"/>
    <mergeCell ref="I1:J3"/>
    <mergeCell ref="A4:B4"/>
    <mergeCell ref="C4:D4"/>
    <mergeCell ref="E4:F4"/>
    <mergeCell ref="G4:H4"/>
    <mergeCell ref="I4:J4"/>
    <mergeCell ref="A1:B3"/>
    <mergeCell ref="C1:D3"/>
    <mergeCell ref="E1:F3"/>
    <mergeCell ref="G1:H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G19:H19"/>
    <mergeCell ref="I14:J14"/>
    <mergeCell ref="A16:B18"/>
    <mergeCell ref="C16:D18"/>
    <mergeCell ref="E16:F18"/>
    <mergeCell ref="G16:H18"/>
    <mergeCell ref="I16:J18"/>
    <mergeCell ref="A19:B19"/>
    <mergeCell ref="C19:D19"/>
    <mergeCell ref="E19:F19"/>
    <mergeCell ref="I19:J19"/>
    <mergeCell ref="I20:J20"/>
    <mergeCell ref="I21:J21"/>
    <mergeCell ref="I22:J22"/>
    <mergeCell ref="I23:J23"/>
    <mergeCell ref="I24:J24"/>
    <mergeCell ref="I28:J28"/>
    <mergeCell ref="I29:J29"/>
    <mergeCell ref="I25:J25"/>
    <mergeCell ref="I26:J26"/>
    <mergeCell ref="I27:J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</vt:lpstr>
      <vt:lpstr>2</vt:lpstr>
      <vt:lpstr>3</vt:lpstr>
      <vt:lpstr>4</vt:lpstr>
      <vt:lpstr>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Artemer</dc:creator>
  <cp:lastModifiedBy>Dmitry</cp:lastModifiedBy>
  <dcterms:created xsi:type="dcterms:W3CDTF">2024-10-18T10:53:14Z</dcterms:created>
  <dcterms:modified xsi:type="dcterms:W3CDTF">2025-01-09T16:33:22Z</dcterms:modified>
</cp:coreProperties>
</file>