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grams\Programs\Study\Кибер физ\"/>
    </mc:Choice>
  </mc:AlternateContent>
  <xr:revisionPtr revIDLastSave="0" documentId="13_ncr:1_{44D86A8B-9750-4A9C-8B77-AE66B0B13EE4}" xr6:coauthVersionLast="47" xr6:coauthVersionMax="47" xr10:uidLastSave="{00000000-0000-0000-0000-000000000000}"/>
  <bookViews>
    <workbookView xWindow="-108" yWindow="-108" windowWidth="23256" windowHeight="14160" activeTab="4" xr2:uid="{204A04D1-E1E4-4B3D-A404-03DEBDA79D09}"/>
  </bookViews>
  <sheets>
    <sheet name="1" sheetId="1" r:id="rId1"/>
    <sheet name="2" sheetId="2" r:id="rId2"/>
    <sheet name="3" sheetId="3" r:id="rId3"/>
    <sheet name="4" sheetId="4" r:id="rId4"/>
    <sheet name="Лист1" sheetId="6" r:id="rId5"/>
    <sheet name="5" sheetId="5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22" i="6" l="1"/>
  <c r="M22" i="6" s="1"/>
  <c r="G22" i="6"/>
  <c r="I22" i="6" s="1"/>
  <c r="K3" i="6"/>
  <c r="M3" i="6" s="1"/>
  <c r="G3" i="6"/>
  <c r="I3" i="6" s="1"/>
  <c r="G3" i="5"/>
  <c r="Q23" i="5"/>
  <c r="Q24" i="5"/>
  <c r="Q25" i="5"/>
  <c r="Q26" i="5"/>
  <c r="Q27" i="5"/>
  <c r="Q28" i="5"/>
  <c r="Q29" i="5"/>
  <c r="Q30" i="5"/>
  <c r="Q31" i="5"/>
  <c r="Q32" i="5"/>
  <c r="Q33" i="5"/>
  <c r="Q22" i="5"/>
  <c r="P13" i="6" l="1"/>
  <c r="P14" i="6"/>
  <c r="P4" i="6"/>
  <c r="P5" i="6"/>
  <c r="P6" i="6"/>
  <c r="P8" i="6"/>
  <c r="P9" i="6"/>
  <c r="P12" i="6"/>
  <c r="P3" i="6"/>
  <c r="P7" i="6"/>
  <c r="P10" i="6"/>
  <c r="P11" i="6"/>
  <c r="P23" i="6"/>
  <c r="P30" i="6"/>
  <c r="P32" i="6"/>
  <c r="P24" i="6"/>
  <c r="P26" i="6"/>
  <c r="P33" i="6"/>
  <c r="P25" i="6"/>
  <c r="P27" i="6"/>
  <c r="P28" i="6"/>
  <c r="P31" i="6"/>
  <c r="P29" i="6"/>
  <c r="P22" i="6"/>
  <c r="K22" i="5"/>
  <c r="G22" i="5"/>
  <c r="E22" i="5"/>
  <c r="I22" i="5"/>
  <c r="M22" i="5" l="1"/>
  <c r="M3" i="5"/>
  <c r="I3" i="5"/>
  <c r="K3" i="5"/>
  <c r="E3" i="5"/>
  <c r="A4" i="4"/>
  <c r="E4" i="4" s="1"/>
  <c r="E4" i="2"/>
  <c r="C4" i="2"/>
  <c r="C4" i="1"/>
  <c r="E4" i="1"/>
  <c r="E4" i="3"/>
  <c r="Q6" i="5" l="1"/>
  <c r="Q8" i="5"/>
  <c r="Q12" i="5"/>
  <c r="Q3" i="5"/>
  <c r="Q9" i="5"/>
  <c r="Q4" i="5"/>
  <c r="Q11" i="5"/>
  <c r="Q7" i="5"/>
  <c r="Q10" i="5"/>
  <c r="Q13" i="5"/>
  <c r="Q14" i="5"/>
  <c r="Q5" i="5"/>
</calcChain>
</file>

<file path=xl/sharedStrings.xml><?xml version="1.0" encoding="utf-8"?>
<sst xmlns="http://schemas.openxmlformats.org/spreadsheetml/2006/main" count="48" uniqueCount="23">
  <si>
    <t>Время формирования пакета, с</t>
  </si>
  <si>
    <t>Полоса передачи кодека, Кбит/с</t>
  </si>
  <si>
    <t>Ср время занятия интерфейса маршрутизатора, с</t>
  </si>
  <si>
    <t>ts время занятия интерфейса маршрутизатора, с</t>
  </si>
  <si>
    <t>Общая длина пакета, Бит</t>
  </si>
  <si>
    <t>Длина пакета, Бит</t>
  </si>
  <si>
    <t>Скорость обслуживания, Бит/с</t>
  </si>
  <si>
    <t>Количество пользователей</t>
  </si>
  <si>
    <t>Интенсивность обслуживания, u</t>
  </si>
  <si>
    <t>Длина пакета, бит</t>
  </si>
  <si>
    <t>Скорость поступления, бит/c, VEL</t>
  </si>
  <si>
    <t>lam</t>
  </si>
  <si>
    <t>lam pac</t>
  </si>
  <si>
    <t>нагррузка</t>
  </si>
  <si>
    <t>время окончания обслуживания</t>
  </si>
  <si>
    <t>ФРБ</t>
  </si>
  <si>
    <t>tcod, c</t>
  </si>
  <si>
    <t>ts, c</t>
  </si>
  <si>
    <t>lam pac, пакетов/в час</t>
  </si>
  <si>
    <t>скорость v, байт в секунду</t>
  </si>
  <si>
    <t>u, за одну секунду</t>
  </si>
  <si>
    <t>t</t>
  </si>
  <si>
    <t>H(t)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</si>
</sst>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/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0" fillId="0" borderId="4" xfId="0" applyBorder="1" applyAlignment="1">
      <alignment horizontal="center" wrapText="1"/>
    </xf>
    <xf numFmtId="0" fontId="0" fillId="0" borderId="5" xfId="0" applyBorder="1" applyAlignment="1">
      <alignment horizontal="center" wrapText="1"/>
    </xf>
    <xf numFmtId="0" fontId="0" fillId="0" borderId="6" xfId="0" applyBorder="1" applyAlignment="1">
      <alignment horizontal="center" wrapText="1"/>
    </xf>
    <xf numFmtId="0" fontId="0" fillId="0" borderId="7" xfId="0" applyBorder="1" applyAlignment="1">
      <alignment horizontal="center" wrapText="1"/>
    </xf>
    <xf numFmtId="0" fontId="0" fillId="0" borderId="8" xfId="0" applyBorder="1" applyAlignment="1">
      <alignment horizontal="center" wrapText="1"/>
    </xf>
    <xf numFmtId="0" fontId="0" fillId="0" borderId="9" xfId="0" applyBorder="1" applyAlignment="1">
      <alignment horizontal="center" wrapText="1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/>
    <xf numFmtId="0" fontId="0" fillId="0" borderId="1" xfId="0" applyBorder="1" applyAlignment="1"/>
    <xf numFmtId="0" fontId="0" fillId="0" borderId="10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H(t)</a:t>
            </a:r>
            <a:r>
              <a:rPr lang="ru-RU"/>
              <a:t>№1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Лист1!$P$1</c:f>
              <c:strCache>
                <c:ptCount val="1"/>
                <c:pt idx="0">
                  <c:v>H(t)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Лист1!$O$2:$O$14</c:f>
              <c:numCache>
                <c:formatCode>General</c:formatCode>
                <c:ptCount val="13"/>
                <c:pt idx="1">
                  <c:v>0</c:v>
                </c:pt>
                <c:pt idx="2">
                  <c:v>1E-4</c:v>
                </c:pt>
                <c:pt idx="3">
                  <c:v>2.0000000000000001E-4</c:v>
                </c:pt>
                <c:pt idx="4">
                  <c:v>2.9999999999999997E-4</c:v>
                </c:pt>
                <c:pt idx="5">
                  <c:v>4.0000000000000002E-4</c:v>
                </c:pt>
                <c:pt idx="6">
                  <c:v>5.0000000000000001E-4</c:v>
                </c:pt>
                <c:pt idx="7">
                  <c:v>5.9999999999999995E-4</c:v>
                </c:pt>
                <c:pt idx="8">
                  <c:v>6.9999999999999999E-4</c:v>
                </c:pt>
                <c:pt idx="9">
                  <c:v>8.0000000000000004E-4</c:v>
                </c:pt>
                <c:pt idx="10">
                  <c:v>8.9999999999999998E-4</c:v>
                </c:pt>
                <c:pt idx="11">
                  <c:v>1E-3</c:v>
                </c:pt>
                <c:pt idx="12">
                  <c:v>2E-3</c:v>
                </c:pt>
              </c:numCache>
            </c:numRef>
          </c:xVal>
          <c:yVal>
            <c:numRef>
              <c:f>Лист1!$P$2:$P$14</c:f>
              <c:numCache>
                <c:formatCode>General</c:formatCode>
                <c:ptCount val="13"/>
                <c:pt idx="1">
                  <c:v>0</c:v>
                </c:pt>
                <c:pt idx="2">
                  <c:v>0.32670359327284115</c:v>
                </c:pt>
                <c:pt idx="3">
                  <c:v>0.54667194868829627</c:v>
                </c:pt>
                <c:pt idx="4">
                  <c:v>0.6947758519832048</c:v>
                </c:pt>
                <c:pt idx="5">
                  <c:v>0.79449367789393333</c:v>
                </c:pt>
                <c:pt idx="6">
                  <c:v>0.86163333176627122</c:v>
                </c:pt>
                <c:pt idx="7">
                  <c:v>0.90683821946742149</c:v>
                </c:pt>
                <c:pt idx="8">
                  <c:v>0.93727450792311073</c:v>
                </c:pt>
                <c:pt idx="9">
                  <c:v>0.95776715157443759</c:v>
                </c:pt>
                <c:pt idx="10">
                  <c:v>0.97156477490921611</c:v>
                </c:pt>
                <c:pt idx="11">
                  <c:v>0.98085466512189723</c:v>
                </c:pt>
                <c:pt idx="12">
                  <c:v>0.99963345615240529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0BB-4B0B-A02B-D65B36484F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21215856"/>
        <c:axId val="1321213776"/>
      </c:scatterChart>
      <c:valAx>
        <c:axId val="13212158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321213776"/>
        <c:crosses val="autoZero"/>
        <c:crossBetween val="midCat"/>
      </c:valAx>
      <c:valAx>
        <c:axId val="1321213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3212158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H(t)</a:t>
            </a:r>
            <a:r>
              <a:rPr lang="ru-RU"/>
              <a:t>№2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Лист1!$P$20</c:f>
              <c:strCache>
                <c:ptCount val="1"/>
                <c:pt idx="0">
                  <c:v>H(t)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Лист1!$O$21:$O$33</c:f>
              <c:numCache>
                <c:formatCode>General</c:formatCode>
                <c:ptCount val="13"/>
                <c:pt idx="1">
                  <c:v>0</c:v>
                </c:pt>
                <c:pt idx="2">
                  <c:v>1E-4</c:v>
                </c:pt>
                <c:pt idx="3">
                  <c:v>2.0000000000000001E-4</c:v>
                </c:pt>
                <c:pt idx="4">
                  <c:v>2.9999999999999997E-4</c:v>
                </c:pt>
                <c:pt idx="5">
                  <c:v>4.0000000000000002E-4</c:v>
                </c:pt>
                <c:pt idx="6">
                  <c:v>5.0000000000000001E-4</c:v>
                </c:pt>
                <c:pt idx="7">
                  <c:v>5.9999999999999995E-4</c:v>
                </c:pt>
                <c:pt idx="8">
                  <c:v>6.9999999999999999E-4</c:v>
                </c:pt>
                <c:pt idx="9">
                  <c:v>8.0000000000000004E-4</c:v>
                </c:pt>
                <c:pt idx="10">
                  <c:v>8.9999999999999998E-4</c:v>
                </c:pt>
                <c:pt idx="11">
                  <c:v>1E-3</c:v>
                </c:pt>
                <c:pt idx="12">
                  <c:v>2E-3</c:v>
                </c:pt>
              </c:numCache>
            </c:numRef>
          </c:xVal>
          <c:yVal>
            <c:numRef>
              <c:f>Лист1!$P$21:$P$33</c:f>
              <c:numCache>
                <c:formatCode>General</c:formatCode>
                <c:ptCount val="13"/>
                <c:pt idx="1">
                  <c:v>0</c:v>
                </c:pt>
                <c:pt idx="2">
                  <c:v>0.17843225549402686</c:v>
                </c:pt>
                <c:pt idx="3">
                  <c:v>0.32502644118736801</c:v>
                </c:pt>
                <c:pt idx="4">
                  <c:v>0.4454634956851361</c:v>
                </c:pt>
                <c:pt idx="5">
                  <c:v>0.54441069490381055</c:v>
                </c:pt>
                <c:pt idx="6">
                  <c:v>0.62570252219107991</c:v>
                </c:pt>
                <c:pt idx="7">
                  <c:v>0.69248926538225097</c:v>
                </c:pt>
                <c:pt idx="8">
                  <c:v>0.74735909934872113</c:v>
                </c:pt>
                <c:pt idx="9">
                  <c:v>0.79243838508197117</c:v>
                </c:pt>
                <c:pt idx="10">
                  <c:v>0.82947407218577773</c:v>
                </c:pt>
                <c:pt idx="11">
                  <c:v>0.85990139810588095</c:v>
                </c:pt>
                <c:pt idx="12">
                  <c:v>0.98037238174731312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13B-4733-BDE5-A12F5679BA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33327552"/>
        <c:axId val="833326304"/>
      </c:scatterChart>
      <c:valAx>
        <c:axId val="8333275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33326304"/>
        <c:crosses val="autoZero"/>
        <c:crossBetween val="midCat"/>
      </c:valAx>
      <c:valAx>
        <c:axId val="833326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333275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'5'!$Q$3:$Q$14</c:f>
              <c:numCache>
                <c:formatCode>General</c:formatCode>
                <c:ptCount val="12"/>
                <c:pt idx="0">
                  <c:v>0</c:v>
                </c:pt>
                <c:pt idx="1">
                  <c:v>-1.0497756806822744E-2</c:v>
                </c:pt>
                <c:pt idx="2">
                  <c:v>-2.1105716511620631E-2</c:v>
                </c:pt>
                <c:pt idx="3">
                  <c:v>-3.1825035997616213E-2</c:v>
                </c:pt>
                <c:pt idx="4">
                  <c:v>-4.2656884292710195E-2</c:v>
                </c:pt>
                <c:pt idx="5">
                  <c:v>-5.3602442696974562E-2</c:v>
                </c:pt>
                <c:pt idx="6">
                  <c:v>-6.4662904911481744E-2</c:v>
                </c:pt>
                <c:pt idx="7">
                  <c:v>-7.5839477168488045E-2</c:v>
                </c:pt>
                <c:pt idx="8">
                  <c:v>-8.7133378362982183E-2</c:v>
                </c:pt>
                <c:pt idx="9">
                  <c:v>-0.1100781072570316</c:v>
                </c:pt>
                <c:pt idx="10">
                  <c:v>-0.2322734042113539</c:v>
                </c:pt>
                <c:pt idx="11">
                  <c:v>-0.36791972817011875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DB5-477F-A9B0-3100F01E5068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'5'!$R$3:$R$14</c:f>
              <c:numCache>
                <c:formatCode>General</c:formatCode>
                <c:ptCount val="1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DB5-477F-A9B0-3100F01E50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66985743"/>
        <c:axId val="899164623"/>
      </c:lineChart>
      <c:catAx>
        <c:axId val="116698574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99164623"/>
        <c:crosses val="autoZero"/>
        <c:auto val="1"/>
        <c:lblAlgn val="ctr"/>
        <c:lblOffset val="100"/>
        <c:noMultiLvlLbl val="0"/>
      </c:catAx>
      <c:valAx>
        <c:axId val="899164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669857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маршрутизатор</a:t>
            </a:r>
            <a:r>
              <a:rPr lang="ru-RU" baseline="0"/>
              <a:t> 2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'5'!$O$22:$P$33</c:f>
              <c:strCache>
                <c:ptCount val="12"/>
                <c:pt idx="0">
                  <c:v>0</c:v>
                </c:pt>
                <c:pt idx="1">
                  <c:v>0,001</c:v>
                </c:pt>
                <c:pt idx="2">
                  <c:v>0,002</c:v>
                </c:pt>
                <c:pt idx="3">
                  <c:v>0,003</c:v>
                </c:pt>
                <c:pt idx="4">
                  <c:v>0,004</c:v>
                </c:pt>
                <c:pt idx="5">
                  <c:v>0,005</c:v>
                </c:pt>
                <c:pt idx="6">
                  <c:v>0,006</c:v>
                </c:pt>
                <c:pt idx="7">
                  <c:v>0,007</c:v>
                </c:pt>
                <c:pt idx="8">
                  <c:v>0,008</c:v>
                </c:pt>
                <c:pt idx="9">
                  <c:v>0,01</c:v>
                </c:pt>
                <c:pt idx="10">
                  <c:v>0,02</c:v>
                </c:pt>
                <c:pt idx="11">
                  <c:v>0,03</c:v>
                </c:pt>
              </c:strCache>
            </c:strRef>
          </c:cat>
          <c:val>
            <c:numRef>
              <c:f>'5'!$Q$22:$Q$33</c:f>
              <c:numCache>
                <c:formatCode>General</c:formatCode>
                <c:ptCount val="12"/>
                <c:pt idx="0">
                  <c:v>0</c:v>
                </c:pt>
                <c:pt idx="1">
                  <c:v>0.25824934618682516</c:v>
                </c:pt>
                <c:pt idx="2">
                  <c:v>0.44980596756772784</c:v>
                </c:pt>
                <c:pt idx="3">
                  <c:v>0.59189321671925499</c:v>
                </c:pt>
                <c:pt idx="4">
                  <c:v>0.69728652667591584</c:v>
                </c:pt>
                <c:pt idx="5">
                  <c:v>0.7754620832438035</c:v>
                </c:pt>
                <c:pt idx="6">
                  <c:v>0.833448853440243</c:v>
                </c:pt>
                <c:pt idx="7">
                  <c:v>0.87646057814596645</c:v>
                </c:pt>
                <c:pt idx="8">
                  <c:v>0.90836455306806896</c:v>
                </c:pt>
                <c:pt idx="9">
                  <c:v>0.9495827239387874</c:v>
                </c:pt>
                <c:pt idx="10">
                  <c:v>0.99745809827456744</c:v>
                </c:pt>
                <c:pt idx="11">
                  <c:v>0.99987184423898845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B5F-4800-A078-DAFD85A03BF7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'5'!$O$22:$P$33</c:f>
              <c:strCache>
                <c:ptCount val="12"/>
                <c:pt idx="0">
                  <c:v>0</c:v>
                </c:pt>
                <c:pt idx="1">
                  <c:v>0,001</c:v>
                </c:pt>
                <c:pt idx="2">
                  <c:v>0,002</c:v>
                </c:pt>
                <c:pt idx="3">
                  <c:v>0,003</c:v>
                </c:pt>
                <c:pt idx="4">
                  <c:v>0,004</c:v>
                </c:pt>
                <c:pt idx="5">
                  <c:v>0,005</c:v>
                </c:pt>
                <c:pt idx="6">
                  <c:v>0,006</c:v>
                </c:pt>
                <c:pt idx="7">
                  <c:v>0,007</c:v>
                </c:pt>
                <c:pt idx="8">
                  <c:v>0,008</c:v>
                </c:pt>
                <c:pt idx="9">
                  <c:v>0,01</c:v>
                </c:pt>
                <c:pt idx="10">
                  <c:v>0,02</c:v>
                </c:pt>
                <c:pt idx="11">
                  <c:v>0,03</c:v>
                </c:pt>
              </c:strCache>
            </c:strRef>
          </c:cat>
          <c:val>
            <c:numRef>
              <c:f>'5'!$R$22:$R$33</c:f>
              <c:numCache>
                <c:formatCode>General</c:formatCode>
                <c:ptCount val="1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B5F-4800-A078-DAFD85A03B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29457119"/>
        <c:axId val="829457535"/>
      </c:lineChart>
      <c:catAx>
        <c:axId val="8294571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29457535"/>
        <c:crosses val="autoZero"/>
        <c:auto val="1"/>
        <c:lblAlgn val="ctr"/>
        <c:lblOffset val="100"/>
        <c:noMultiLvlLbl val="0"/>
      </c:catAx>
      <c:valAx>
        <c:axId val="8294575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294571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700216</xdr:colOff>
      <xdr:row>4</xdr:row>
      <xdr:rowOff>144162</xdr:rowOff>
    </xdr:from>
    <xdr:to>
      <xdr:col>13</xdr:col>
      <xdr:colOff>666727</xdr:colOff>
      <xdr:row>6</xdr:row>
      <xdr:rowOff>164039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FDDC6763-F241-4A39-841D-5F30009901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234351" y="885567"/>
          <a:ext cx="1686160" cy="390580"/>
        </a:xfrm>
        <a:prstGeom prst="rect">
          <a:avLst/>
        </a:prstGeom>
      </xdr:spPr>
    </xdr:pic>
    <xdr:clientData/>
  </xdr:twoCellAnchor>
  <xdr:oneCellAnchor>
    <xdr:from>
      <xdr:col>11</xdr:col>
      <xdr:colOff>700216</xdr:colOff>
      <xdr:row>23</xdr:row>
      <xdr:rowOff>144162</xdr:rowOff>
    </xdr:from>
    <xdr:ext cx="1686160" cy="390580"/>
    <xdr:pic>
      <xdr:nvPicPr>
        <xdr:cNvPr id="6" name="Рисунок 5">
          <a:extLst>
            <a:ext uri="{FF2B5EF4-FFF2-40B4-BE49-F238E27FC236}">
              <a16:creationId xmlns:a16="http://schemas.microsoft.com/office/drawing/2014/main" id="{65628852-BC33-4EB1-8E4C-827F3EC026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234351" y="885567"/>
          <a:ext cx="1686160" cy="390580"/>
        </a:xfrm>
        <a:prstGeom prst="rect">
          <a:avLst/>
        </a:prstGeom>
      </xdr:spPr>
    </xdr:pic>
    <xdr:clientData/>
  </xdr:oneCellAnchor>
  <xdr:twoCellAnchor>
    <xdr:from>
      <xdr:col>16</xdr:col>
      <xdr:colOff>370703</xdr:colOff>
      <xdr:row>0</xdr:row>
      <xdr:rowOff>90616</xdr:rowOff>
    </xdr:from>
    <xdr:to>
      <xdr:col>22</xdr:col>
      <xdr:colOff>370703</xdr:colOff>
      <xdr:row>15</xdr:row>
      <xdr:rowOff>53546</xdr:rowOff>
    </xdr:to>
    <xdr:graphicFrame macro="">
      <xdr:nvGraphicFramePr>
        <xdr:cNvPr id="9" name="Диаграмма 8">
          <a:extLst>
            <a:ext uri="{FF2B5EF4-FFF2-40B4-BE49-F238E27FC236}">
              <a16:creationId xmlns:a16="http://schemas.microsoft.com/office/drawing/2014/main" id="{3DCCC0D0-EF03-4A28-A945-E0CBF04FE09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463379</xdr:colOff>
      <xdr:row>18</xdr:row>
      <xdr:rowOff>28833</xdr:rowOff>
    </xdr:from>
    <xdr:to>
      <xdr:col>22</xdr:col>
      <xdr:colOff>463379</xdr:colOff>
      <xdr:row>32</xdr:row>
      <xdr:rowOff>177114</xdr:rowOff>
    </xdr:to>
    <xdr:graphicFrame macro="">
      <xdr:nvGraphicFramePr>
        <xdr:cNvPr id="10" name="Диаграмма 9">
          <a:extLst>
            <a:ext uri="{FF2B5EF4-FFF2-40B4-BE49-F238E27FC236}">
              <a16:creationId xmlns:a16="http://schemas.microsoft.com/office/drawing/2014/main" id="{B8775996-5363-4D04-B018-F12A665D2A6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285750</xdr:colOff>
      <xdr:row>0</xdr:row>
      <xdr:rowOff>162983</xdr:rowOff>
    </xdr:from>
    <xdr:to>
      <xdr:col>24</xdr:col>
      <xdr:colOff>412750</xdr:colOff>
      <xdr:row>15</xdr:row>
      <xdr:rowOff>48683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17A28EFE-4207-4CA0-8FDA-94B82F2EFE2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264583</xdr:colOff>
      <xdr:row>19</xdr:row>
      <xdr:rowOff>46566</xdr:rowOff>
    </xdr:from>
    <xdr:to>
      <xdr:col>24</xdr:col>
      <xdr:colOff>391583</xdr:colOff>
      <xdr:row>33</xdr:row>
      <xdr:rowOff>122766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23F90FCB-454D-4987-AF82-F28DA58910E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B7DAC2-207E-4AE8-A7E1-2858C9154FE5}">
  <dimension ref="A1:F4"/>
  <sheetViews>
    <sheetView workbookViewId="0">
      <selection activeCell="E4" sqref="E4:F4"/>
    </sheetView>
  </sheetViews>
  <sheetFormatPr defaultRowHeight="14.4" x14ac:dyDescent="0.3"/>
  <cols>
    <col min="2" max="2" width="10" bestFit="1" customWidth="1"/>
  </cols>
  <sheetData>
    <row r="1" spans="1:6" x14ac:dyDescent="0.3">
      <c r="A1" s="2" t="s">
        <v>0</v>
      </c>
      <c r="B1" s="2"/>
      <c r="C1" s="2" t="s">
        <v>4</v>
      </c>
      <c r="D1" s="2"/>
      <c r="E1" s="2" t="s">
        <v>1</v>
      </c>
      <c r="F1" s="2"/>
    </row>
    <row r="2" spans="1:6" x14ac:dyDescent="0.3">
      <c r="A2" s="2"/>
      <c r="B2" s="2"/>
      <c r="C2" s="2"/>
      <c r="D2" s="2"/>
      <c r="E2" s="2"/>
      <c r="F2" s="2"/>
    </row>
    <row r="3" spans="1:6" x14ac:dyDescent="0.3">
      <c r="A3" s="2"/>
      <c r="B3" s="2"/>
      <c r="C3" s="2"/>
      <c r="D3" s="2"/>
      <c r="E3" s="2"/>
      <c r="F3" s="2"/>
    </row>
    <row r="4" spans="1:6" x14ac:dyDescent="0.3">
      <c r="A4" s="3">
        <v>0.03</v>
      </c>
      <c r="B4" s="3"/>
      <c r="C4" s="3">
        <f>158*8</f>
        <v>1264</v>
      </c>
      <c r="D4" s="3"/>
      <c r="E4" s="4">
        <f>C4/A4/1000</f>
        <v>42.133333333333333</v>
      </c>
      <c r="F4" s="4"/>
    </row>
  </sheetData>
  <mergeCells count="6">
    <mergeCell ref="A1:B3"/>
    <mergeCell ref="A4:B4"/>
    <mergeCell ref="C1:D3"/>
    <mergeCell ref="C4:D4"/>
    <mergeCell ref="E1:F3"/>
    <mergeCell ref="E4:F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78F117-773C-4783-921E-F2602F09A077}">
  <dimension ref="A1:F4"/>
  <sheetViews>
    <sheetView workbookViewId="0">
      <selection activeCell="E4" sqref="E4:F4"/>
    </sheetView>
  </sheetViews>
  <sheetFormatPr defaultRowHeight="14.4" x14ac:dyDescent="0.3"/>
  <sheetData>
    <row r="1" spans="1:6" x14ac:dyDescent="0.3">
      <c r="A1" s="2" t="s">
        <v>0</v>
      </c>
      <c r="B1" s="2"/>
      <c r="C1" s="2" t="s">
        <v>4</v>
      </c>
      <c r="D1" s="2"/>
      <c r="E1" s="2" t="s">
        <v>1</v>
      </c>
      <c r="F1" s="2"/>
    </row>
    <row r="2" spans="1:6" x14ac:dyDescent="0.3">
      <c r="A2" s="2"/>
      <c r="B2" s="2"/>
      <c r="C2" s="2"/>
      <c r="D2" s="2"/>
      <c r="E2" s="2"/>
      <c r="F2" s="2"/>
    </row>
    <row r="3" spans="1:6" x14ac:dyDescent="0.3">
      <c r="A3" s="2"/>
      <c r="B3" s="2"/>
      <c r="C3" s="2"/>
      <c r="D3" s="2"/>
      <c r="E3" s="2"/>
      <c r="F3" s="2"/>
    </row>
    <row r="4" spans="1:6" x14ac:dyDescent="0.3">
      <c r="A4" s="3">
        <v>0.01</v>
      </c>
      <c r="B4" s="3"/>
      <c r="C4" s="3">
        <f>318*8</f>
        <v>2544</v>
      </c>
      <c r="D4" s="3"/>
      <c r="E4" s="4">
        <f>C4/A4/1000</f>
        <v>254.4</v>
      </c>
      <c r="F4" s="4"/>
    </row>
  </sheetData>
  <mergeCells count="6">
    <mergeCell ref="A1:B3"/>
    <mergeCell ref="C1:D3"/>
    <mergeCell ref="E1:F3"/>
    <mergeCell ref="A4:B4"/>
    <mergeCell ref="C4:D4"/>
    <mergeCell ref="E4:F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B9C12A-C057-4661-8314-CF59A6C20DCA}">
  <dimension ref="A1:F4"/>
  <sheetViews>
    <sheetView workbookViewId="0">
      <selection activeCell="E4" sqref="E4:F4"/>
    </sheetView>
  </sheetViews>
  <sheetFormatPr defaultRowHeight="14.4" x14ac:dyDescent="0.3"/>
  <sheetData>
    <row r="1" spans="1:6" x14ac:dyDescent="0.3">
      <c r="A1" s="5" t="s">
        <v>5</v>
      </c>
      <c r="B1" s="6"/>
      <c r="C1" s="2" t="s">
        <v>6</v>
      </c>
      <c r="D1" s="2"/>
      <c r="E1" s="2" t="s">
        <v>3</v>
      </c>
      <c r="F1" s="2"/>
    </row>
    <row r="2" spans="1:6" x14ac:dyDescent="0.3">
      <c r="A2" s="7"/>
      <c r="B2" s="8"/>
      <c r="C2" s="2"/>
      <c r="D2" s="2"/>
      <c r="E2" s="2"/>
      <c r="F2" s="2"/>
    </row>
    <row r="3" spans="1:6" x14ac:dyDescent="0.3">
      <c r="A3" s="9"/>
      <c r="B3" s="10"/>
      <c r="C3" s="2"/>
      <c r="D3" s="2"/>
      <c r="E3" s="2"/>
      <c r="F3" s="2"/>
    </row>
    <row r="4" spans="1:6" x14ac:dyDescent="0.3">
      <c r="A4" s="11">
        <v>1264</v>
      </c>
      <c r="B4" s="12"/>
      <c r="C4" s="3">
        <v>5000000</v>
      </c>
      <c r="D4" s="3"/>
      <c r="E4" s="11">
        <f>A4/C4</f>
        <v>2.5280000000000002E-4</v>
      </c>
      <c r="F4" s="12"/>
    </row>
  </sheetData>
  <mergeCells count="6">
    <mergeCell ref="A1:B3"/>
    <mergeCell ref="C1:D3"/>
    <mergeCell ref="E1:F3"/>
    <mergeCell ref="A4:B4"/>
    <mergeCell ref="C4:D4"/>
    <mergeCell ref="E4:F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3FE3B6-40B0-46B1-9562-61B140DB775B}">
  <dimension ref="A1:F4"/>
  <sheetViews>
    <sheetView workbookViewId="0">
      <selection activeCell="E4" sqref="E4:F4"/>
    </sheetView>
  </sheetViews>
  <sheetFormatPr defaultRowHeight="14.4" x14ac:dyDescent="0.3"/>
  <sheetData>
    <row r="1" spans="1:6" x14ac:dyDescent="0.3">
      <c r="A1" s="5" t="s">
        <v>5</v>
      </c>
      <c r="B1" s="6"/>
      <c r="C1" s="2" t="s">
        <v>6</v>
      </c>
      <c r="D1" s="2"/>
      <c r="E1" s="2" t="s">
        <v>2</v>
      </c>
      <c r="F1" s="2"/>
    </row>
    <row r="2" spans="1:6" x14ac:dyDescent="0.3">
      <c r="A2" s="7"/>
      <c r="B2" s="8"/>
      <c r="C2" s="2"/>
      <c r="D2" s="2"/>
      <c r="E2" s="2"/>
      <c r="F2" s="2"/>
    </row>
    <row r="3" spans="1:6" x14ac:dyDescent="0.3">
      <c r="A3" s="9"/>
      <c r="B3" s="10"/>
      <c r="C3" s="2"/>
      <c r="D3" s="2"/>
      <c r="E3" s="2"/>
      <c r="F3" s="2"/>
    </row>
    <row r="4" spans="1:6" x14ac:dyDescent="0.3">
      <c r="A4" s="11">
        <f>2544</f>
        <v>2544</v>
      </c>
      <c r="B4" s="12"/>
      <c r="C4" s="3">
        <v>5000000</v>
      </c>
      <c r="D4" s="3"/>
      <c r="E4" s="11">
        <f>A4/C4</f>
        <v>5.0880000000000001E-4</v>
      </c>
      <c r="F4" s="12"/>
    </row>
  </sheetData>
  <mergeCells count="6">
    <mergeCell ref="A1:B3"/>
    <mergeCell ref="C1:D3"/>
    <mergeCell ref="E1:F3"/>
    <mergeCell ref="A4:B4"/>
    <mergeCell ref="C4:D4"/>
    <mergeCell ref="E4:F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26B8AA-0754-4128-82D8-01970B8FC902}">
  <dimension ref="A1:W33"/>
  <sheetViews>
    <sheetView tabSelected="1" topLeftCell="F1" zoomScale="74" workbookViewId="0">
      <selection activeCell="P37" sqref="P37"/>
    </sheetView>
  </sheetViews>
  <sheetFormatPr defaultRowHeight="14.4" x14ac:dyDescent="0.3"/>
  <cols>
    <col min="1" max="12" width="14" style="1" customWidth="1"/>
    <col min="13" max="22" width="11.109375" style="1" customWidth="1"/>
    <col min="23" max="23" width="8.88671875" style="1"/>
  </cols>
  <sheetData>
    <row r="1" spans="1:16" x14ac:dyDescent="0.3">
      <c r="A1" s="13" t="s">
        <v>16</v>
      </c>
      <c r="B1" s="13"/>
      <c r="C1" s="14" t="s">
        <v>7</v>
      </c>
      <c r="D1" s="14"/>
      <c r="E1" s="14" t="s">
        <v>11</v>
      </c>
      <c r="F1" s="14"/>
      <c r="G1" s="13" t="s">
        <v>17</v>
      </c>
      <c r="H1" s="13"/>
      <c r="I1" s="3" t="s">
        <v>18</v>
      </c>
      <c r="J1" s="3"/>
      <c r="K1" s="3" t="s">
        <v>19</v>
      </c>
      <c r="L1" s="3"/>
      <c r="M1" s="3" t="s">
        <v>20</v>
      </c>
      <c r="N1" s="3"/>
      <c r="O1" s="17" t="s">
        <v>21</v>
      </c>
      <c r="P1" s="21" t="s">
        <v>22</v>
      </c>
    </row>
    <row r="2" spans="1:16" x14ac:dyDescent="0.3">
      <c r="A2" s="13"/>
      <c r="B2" s="13"/>
      <c r="C2" s="14"/>
      <c r="D2" s="14"/>
      <c r="E2" s="14"/>
      <c r="F2" s="14"/>
      <c r="G2" s="13"/>
      <c r="H2" s="13"/>
      <c r="I2" s="3"/>
      <c r="J2" s="3"/>
      <c r="K2" s="3"/>
      <c r="L2" s="3"/>
      <c r="M2" s="3"/>
      <c r="N2" s="3"/>
      <c r="O2" s="18"/>
      <c r="P2" s="22"/>
    </row>
    <row r="3" spans="1:16" x14ac:dyDescent="0.3">
      <c r="A3" s="3">
        <v>0.01</v>
      </c>
      <c r="B3" s="3"/>
      <c r="C3" s="3">
        <v>1000</v>
      </c>
      <c r="D3" s="3"/>
      <c r="E3" s="3">
        <v>1</v>
      </c>
      <c r="F3" s="3"/>
      <c r="G3" s="3">
        <f>3*60</f>
        <v>180</v>
      </c>
      <c r="H3" s="3"/>
      <c r="I3" s="3">
        <f>E3*(G3/A3)</f>
        <v>18000</v>
      </c>
      <c r="J3" s="3"/>
      <c r="K3" s="3">
        <f>5*10^6/8</f>
        <v>625000</v>
      </c>
      <c r="L3" s="3"/>
      <c r="M3" s="3">
        <f>K3/158</f>
        <v>3955.6962025316457</v>
      </c>
      <c r="N3" s="3"/>
      <c r="O3" s="16">
        <v>0</v>
      </c>
      <c r="P3" s="16">
        <f>1-EXP(1)^(-($M$3*O3))</f>
        <v>0</v>
      </c>
    </row>
    <row r="4" spans="1:16" x14ac:dyDescent="0.3">
      <c r="O4" s="16">
        <v>1E-4</v>
      </c>
      <c r="P4" s="16">
        <f t="shared" ref="P4:P14" si="0">1-EXP(1)^(-($M$3*O4))</f>
        <v>0.32670359327284115</v>
      </c>
    </row>
    <row r="5" spans="1:16" x14ac:dyDescent="0.3">
      <c r="O5" s="15">
        <v>2.0000000000000001E-4</v>
      </c>
      <c r="P5" s="16">
        <f t="shared" si="0"/>
        <v>0.54667194868829627</v>
      </c>
    </row>
    <row r="6" spans="1:16" x14ac:dyDescent="0.3">
      <c r="O6" s="15">
        <v>2.9999999999999997E-4</v>
      </c>
      <c r="P6" s="16">
        <f t="shared" si="0"/>
        <v>0.6947758519832048</v>
      </c>
    </row>
    <row r="7" spans="1:16" x14ac:dyDescent="0.3">
      <c r="O7" s="15">
        <v>4.0000000000000002E-4</v>
      </c>
      <c r="P7" s="16">
        <f t="shared" si="0"/>
        <v>0.79449367789393333</v>
      </c>
    </row>
    <row r="8" spans="1:16" x14ac:dyDescent="0.3">
      <c r="O8" s="15">
        <v>5.0000000000000001E-4</v>
      </c>
      <c r="P8" s="16">
        <f t="shared" si="0"/>
        <v>0.86163333176627122</v>
      </c>
    </row>
    <row r="9" spans="1:16" x14ac:dyDescent="0.3">
      <c r="O9" s="15">
        <v>5.9999999999999995E-4</v>
      </c>
      <c r="P9" s="16">
        <f t="shared" si="0"/>
        <v>0.90683821946742149</v>
      </c>
    </row>
    <row r="10" spans="1:16" x14ac:dyDescent="0.3">
      <c r="O10" s="15">
        <v>6.9999999999999999E-4</v>
      </c>
      <c r="P10" s="16">
        <f t="shared" si="0"/>
        <v>0.93727450792311073</v>
      </c>
    </row>
    <row r="11" spans="1:16" x14ac:dyDescent="0.3">
      <c r="O11" s="15">
        <v>8.0000000000000004E-4</v>
      </c>
      <c r="P11" s="16">
        <f t="shared" si="0"/>
        <v>0.95776715157443759</v>
      </c>
    </row>
    <row r="12" spans="1:16" x14ac:dyDescent="0.3">
      <c r="O12" s="15">
        <v>8.9999999999999998E-4</v>
      </c>
      <c r="P12" s="16">
        <f t="shared" si="0"/>
        <v>0.97156477490921611</v>
      </c>
    </row>
    <row r="13" spans="1:16" x14ac:dyDescent="0.3">
      <c r="O13" s="15">
        <v>1E-3</v>
      </c>
      <c r="P13" s="16">
        <f t="shared" si="0"/>
        <v>0.98085466512189723</v>
      </c>
    </row>
    <row r="14" spans="1:16" x14ac:dyDescent="0.3">
      <c r="O14" s="15">
        <v>2E-3</v>
      </c>
      <c r="P14" s="16">
        <f t="shared" si="0"/>
        <v>0.99963345615240529</v>
      </c>
    </row>
    <row r="20" spans="1:16" x14ac:dyDescent="0.3">
      <c r="A20" s="13" t="s">
        <v>16</v>
      </c>
      <c r="B20" s="13"/>
      <c r="C20" s="14" t="s">
        <v>7</v>
      </c>
      <c r="D20" s="14"/>
      <c r="E20" s="14" t="s">
        <v>11</v>
      </c>
      <c r="F20" s="14"/>
      <c r="G20" s="13" t="s">
        <v>17</v>
      </c>
      <c r="H20" s="13"/>
      <c r="I20" s="3" t="s">
        <v>18</v>
      </c>
      <c r="J20" s="3"/>
      <c r="K20" s="3" t="s">
        <v>19</v>
      </c>
      <c r="L20" s="3"/>
      <c r="M20" s="3" t="s">
        <v>20</v>
      </c>
      <c r="N20" s="3"/>
      <c r="O20" s="17" t="s">
        <v>21</v>
      </c>
      <c r="P20" s="19" t="s">
        <v>22</v>
      </c>
    </row>
    <row r="21" spans="1:16" x14ac:dyDescent="0.3">
      <c r="A21" s="13"/>
      <c r="B21" s="13"/>
      <c r="C21" s="14"/>
      <c r="D21" s="14"/>
      <c r="E21" s="14"/>
      <c r="F21" s="14"/>
      <c r="G21" s="13"/>
      <c r="H21" s="13"/>
      <c r="I21" s="3"/>
      <c r="J21" s="3"/>
      <c r="K21" s="3"/>
      <c r="L21" s="3"/>
      <c r="M21" s="3"/>
      <c r="N21" s="3"/>
      <c r="O21" s="18"/>
      <c r="P21" s="20"/>
    </row>
    <row r="22" spans="1:16" x14ac:dyDescent="0.3">
      <c r="A22" s="3">
        <v>0.03</v>
      </c>
      <c r="B22" s="3"/>
      <c r="C22" s="3">
        <v>1000</v>
      </c>
      <c r="D22" s="3"/>
      <c r="E22" s="3">
        <v>1</v>
      </c>
      <c r="F22" s="3"/>
      <c r="G22" s="3">
        <f>3*60</f>
        <v>180</v>
      </c>
      <c r="H22" s="3"/>
      <c r="I22" s="3">
        <f>E22*(G22/A22)</f>
        <v>6000</v>
      </c>
      <c r="J22" s="3"/>
      <c r="K22" s="3">
        <f>5*10^6/8</f>
        <v>625000</v>
      </c>
      <c r="L22" s="3"/>
      <c r="M22" s="3">
        <f>K22/318</f>
        <v>1965.4088050314465</v>
      </c>
      <c r="N22" s="3"/>
      <c r="O22" s="16">
        <v>0</v>
      </c>
      <c r="P22" s="16">
        <f>1-EXP(1)^(-($M$22*O22))</f>
        <v>0</v>
      </c>
    </row>
    <row r="23" spans="1:16" x14ac:dyDescent="0.3">
      <c r="O23" s="16">
        <v>1E-4</v>
      </c>
      <c r="P23" s="16">
        <f t="shared" ref="P23:P33" si="1">1-EXP(1)^(-($M$22*O23))</f>
        <v>0.17843225549402686</v>
      </c>
    </row>
    <row r="24" spans="1:16" x14ac:dyDescent="0.3">
      <c r="O24" s="15">
        <v>2.0000000000000001E-4</v>
      </c>
      <c r="P24" s="16">
        <f t="shared" si="1"/>
        <v>0.32502644118736801</v>
      </c>
    </row>
    <row r="25" spans="1:16" x14ac:dyDescent="0.3">
      <c r="O25" s="15">
        <v>2.9999999999999997E-4</v>
      </c>
      <c r="P25" s="16">
        <f t="shared" si="1"/>
        <v>0.4454634956851361</v>
      </c>
    </row>
    <row r="26" spans="1:16" x14ac:dyDescent="0.3">
      <c r="O26" s="15">
        <v>4.0000000000000002E-4</v>
      </c>
      <c r="P26" s="16">
        <f t="shared" si="1"/>
        <v>0.54441069490381055</v>
      </c>
    </row>
    <row r="27" spans="1:16" x14ac:dyDescent="0.3">
      <c r="O27" s="15">
        <v>5.0000000000000001E-4</v>
      </c>
      <c r="P27" s="16">
        <f t="shared" si="1"/>
        <v>0.62570252219107991</v>
      </c>
    </row>
    <row r="28" spans="1:16" x14ac:dyDescent="0.3">
      <c r="O28" s="15">
        <v>5.9999999999999995E-4</v>
      </c>
      <c r="P28" s="16">
        <f t="shared" si="1"/>
        <v>0.69248926538225097</v>
      </c>
    </row>
    <row r="29" spans="1:16" x14ac:dyDescent="0.3">
      <c r="O29" s="15">
        <v>6.9999999999999999E-4</v>
      </c>
      <c r="P29" s="16">
        <f t="shared" si="1"/>
        <v>0.74735909934872113</v>
      </c>
    </row>
    <row r="30" spans="1:16" x14ac:dyDescent="0.3">
      <c r="O30" s="15">
        <v>8.0000000000000004E-4</v>
      </c>
      <c r="P30" s="16">
        <f t="shared" si="1"/>
        <v>0.79243838508197117</v>
      </c>
    </row>
    <row r="31" spans="1:16" x14ac:dyDescent="0.3">
      <c r="O31" s="15">
        <v>8.9999999999999998E-4</v>
      </c>
      <c r="P31" s="16">
        <f t="shared" si="1"/>
        <v>0.82947407218577773</v>
      </c>
    </row>
    <row r="32" spans="1:16" x14ac:dyDescent="0.3">
      <c r="O32" s="15">
        <v>1E-3</v>
      </c>
      <c r="P32" s="16">
        <f t="shared" si="1"/>
        <v>0.85990139810588095</v>
      </c>
    </row>
    <row r="33" spans="15:16" x14ac:dyDescent="0.3">
      <c r="O33" s="15">
        <v>2E-3</v>
      </c>
      <c r="P33" s="16">
        <f t="shared" si="1"/>
        <v>0.98037238174731312</v>
      </c>
    </row>
  </sheetData>
  <mergeCells count="32">
    <mergeCell ref="O1:O2"/>
    <mergeCell ref="P1:P2"/>
    <mergeCell ref="O20:O21"/>
    <mergeCell ref="P20:P21"/>
    <mergeCell ref="M20:N21"/>
    <mergeCell ref="A22:B22"/>
    <mergeCell ref="C22:D22"/>
    <mergeCell ref="E22:F22"/>
    <mergeCell ref="G22:H22"/>
    <mergeCell ref="I22:J22"/>
    <mergeCell ref="K22:L22"/>
    <mergeCell ref="M22:N22"/>
    <mergeCell ref="A20:B21"/>
    <mergeCell ref="C20:D21"/>
    <mergeCell ref="E20:F21"/>
    <mergeCell ref="G20:H21"/>
    <mergeCell ref="I20:J21"/>
    <mergeCell ref="K20:L21"/>
    <mergeCell ref="M1:N2"/>
    <mergeCell ref="A3:B3"/>
    <mergeCell ref="C3:D3"/>
    <mergeCell ref="E3:F3"/>
    <mergeCell ref="G3:H3"/>
    <mergeCell ref="I3:J3"/>
    <mergeCell ref="K3:L3"/>
    <mergeCell ref="M3:N3"/>
    <mergeCell ref="A1:B2"/>
    <mergeCell ref="C1:D2"/>
    <mergeCell ref="E1:F2"/>
    <mergeCell ref="G1:H2"/>
    <mergeCell ref="I1:J2"/>
    <mergeCell ref="K1:L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1E2066-09F1-4D2C-AF18-8AA8BCDB6B24}">
  <dimension ref="A1:R33"/>
  <sheetViews>
    <sheetView zoomScale="63" zoomScaleNormal="100" workbookViewId="0">
      <selection activeCell="H42" sqref="H42"/>
    </sheetView>
  </sheetViews>
  <sheetFormatPr defaultRowHeight="14.4" x14ac:dyDescent="0.3"/>
  <cols>
    <col min="1" max="2" width="14" customWidth="1"/>
    <col min="3" max="4" width="14" style="1" customWidth="1"/>
    <col min="5" max="8" width="14" customWidth="1"/>
    <col min="9" max="10" width="14" style="1" customWidth="1"/>
    <col min="11" max="12" width="14" customWidth="1"/>
    <col min="13" max="14" width="11.109375" customWidth="1"/>
    <col min="15" max="16" width="11.109375" style="1" customWidth="1"/>
    <col min="17" max="24" width="11.109375" customWidth="1"/>
  </cols>
  <sheetData>
    <row r="1" spans="1:18" ht="15" customHeight="1" x14ac:dyDescent="0.3">
      <c r="A1" s="13" t="s">
        <v>10</v>
      </c>
      <c r="B1" s="13"/>
      <c r="C1" s="14" t="s">
        <v>7</v>
      </c>
      <c r="D1" s="14"/>
      <c r="E1" s="14" t="s">
        <v>9</v>
      </c>
      <c r="F1" s="14"/>
      <c r="G1" s="13" t="s">
        <v>8</v>
      </c>
      <c r="H1" s="13"/>
      <c r="I1" s="3" t="s">
        <v>11</v>
      </c>
      <c r="J1" s="3"/>
      <c r="K1" s="3" t="s">
        <v>12</v>
      </c>
      <c r="L1" s="3"/>
      <c r="M1" s="3" t="s">
        <v>13</v>
      </c>
      <c r="N1" s="3"/>
      <c r="O1" s="13" t="s">
        <v>14</v>
      </c>
      <c r="P1" s="13"/>
      <c r="Q1" s="3" t="s">
        <v>15</v>
      </c>
      <c r="R1" s="3"/>
    </row>
    <row r="2" spans="1:18" x14ac:dyDescent="0.3">
      <c r="A2" s="13"/>
      <c r="B2" s="13"/>
      <c r="C2" s="14"/>
      <c r="D2" s="14"/>
      <c r="E2" s="14"/>
      <c r="F2" s="14"/>
      <c r="G2" s="13"/>
      <c r="H2" s="13"/>
      <c r="I2" s="3"/>
      <c r="J2" s="3"/>
      <c r="K2" s="3"/>
      <c r="L2" s="3"/>
      <c r="M2" s="3"/>
      <c r="N2" s="3"/>
      <c r="O2" s="13"/>
      <c r="P2" s="13"/>
      <c r="Q2" s="3"/>
      <c r="R2" s="3"/>
    </row>
    <row r="3" spans="1:18" x14ac:dyDescent="0.3">
      <c r="A3" s="3">
        <v>5000000</v>
      </c>
      <c r="B3" s="3"/>
      <c r="C3" s="3">
        <v>1000</v>
      </c>
      <c r="D3" s="3"/>
      <c r="E3" s="3">
        <f>158*8</f>
        <v>1264</v>
      </c>
      <c r="F3" s="3"/>
      <c r="G3" s="3">
        <f>A3/E3</f>
        <v>3955.6962025316457</v>
      </c>
      <c r="H3" s="3"/>
      <c r="I3" s="3">
        <f>C3/3600</f>
        <v>0.27777777777777779</v>
      </c>
      <c r="J3" s="3"/>
      <c r="K3" s="3">
        <f>I3*(180/0.01)</f>
        <v>5000</v>
      </c>
      <c r="L3" s="3"/>
      <c r="M3" s="3">
        <f>K3/G3</f>
        <v>1.264</v>
      </c>
      <c r="N3" s="3"/>
      <c r="O3" s="3">
        <v>0</v>
      </c>
      <c r="P3" s="3"/>
      <c r="Q3" s="3">
        <f>1-EXP(1)^(-$G$3*(1-$M$3)*O3)</f>
        <v>0</v>
      </c>
      <c r="R3" s="3"/>
    </row>
    <row r="4" spans="1:18" x14ac:dyDescent="0.3">
      <c r="C4"/>
      <c r="D4"/>
      <c r="I4"/>
      <c r="J4"/>
      <c r="O4" s="3">
        <v>1.0000000000000001E-5</v>
      </c>
      <c r="P4" s="3"/>
      <c r="Q4" s="3">
        <f t="shared" ref="Q4:Q14" si="0">1-EXP(1)^(-$G$3*(1-$M$3)*O4)</f>
        <v>-1.0497756806822744E-2</v>
      </c>
      <c r="R4" s="3"/>
    </row>
    <row r="5" spans="1:18" x14ac:dyDescent="0.3">
      <c r="C5"/>
      <c r="D5"/>
      <c r="I5"/>
      <c r="J5"/>
      <c r="O5" s="11">
        <v>2.0000000000000002E-5</v>
      </c>
      <c r="P5" s="12"/>
      <c r="Q5" s="3">
        <f t="shared" si="0"/>
        <v>-2.1105716511620631E-2</v>
      </c>
      <c r="R5" s="3"/>
    </row>
    <row r="6" spans="1:18" x14ac:dyDescent="0.3">
      <c r="C6"/>
      <c r="D6"/>
      <c r="I6"/>
      <c r="J6"/>
      <c r="O6" s="11">
        <v>3.0000000000000001E-5</v>
      </c>
      <c r="P6" s="12"/>
      <c r="Q6" s="3">
        <f t="shared" si="0"/>
        <v>-3.1825035997616213E-2</v>
      </c>
      <c r="R6" s="3"/>
    </row>
    <row r="7" spans="1:18" x14ac:dyDescent="0.3">
      <c r="C7"/>
      <c r="D7"/>
      <c r="I7"/>
      <c r="J7"/>
      <c r="O7" s="11">
        <v>4.0000000000000003E-5</v>
      </c>
      <c r="P7" s="12"/>
      <c r="Q7" s="3">
        <f t="shared" si="0"/>
        <v>-4.2656884292710195E-2</v>
      </c>
      <c r="R7" s="3"/>
    </row>
    <row r="8" spans="1:18" x14ac:dyDescent="0.3">
      <c r="C8"/>
      <c r="D8"/>
      <c r="I8"/>
      <c r="J8"/>
      <c r="O8" s="11">
        <v>5.0000000000000002E-5</v>
      </c>
      <c r="P8" s="12"/>
      <c r="Q8" s="3">
        <f t="shared" si="0"/>
        <v>-5.3602442696974562E-2</v>
      </c>
      <c r="R8" s="3"/>
    </row>
    <row r="9" spans="1:18" x14ac:dyDescent="0.3">
      <c r="C9"/>
      <c r="D9"/>
      <c r="I9"/>
      <c r="J9"/>
      <c r="O9" s="11">
        <v>6.0000000000000002E-5</v>
      </c>
      <c r="P9" s="12"/>
      <c r="Q9" s="3">
        <f t="shared" si="0"/>
        <v>-6.4662904911481744E-2</v>
      </c>
      <c r="R9" s="3"/>
    </row>
    <row r="10" spans="1:18" x14ac:dyDescent="0.3">
      <c r="C10"/>
      <c r="D10"/>
      <c r="I10"/>
      <c r="J10"/>
      <c r="O10" s="11">
        <v>6.9999999999999994E-5</v>
      </c>
      <c r="P10" s="12"/>
      <c r="Q10" s="3">
        <f t="shared" si="0"/>
        <v>-7.5839477168488045E-2</v>
      </c>
      <c r="R10" s="3"/>
    </row>
    <row r="11" spans="1:18" x14ac:dyDescent="0.3">
      <c r="C11"/>
      <c r="D11"/>
      <c r="I11"/>
      <c r="J11"/>
      <c r="O11" s="11">
        <v>8.0000000000000007E-5</v>
      </c>
      <c r="P11" s="12"/>
      <c r="Q11" s="3">
        <f t="shared" si="0"/>
        <v>-8.7133378362982183E-2</v>
      </c>
      <c r="R11" s="3"/>
    </row>
    <row r="12" spans="1:18" x14ac:dyDescent="0.3">
      <c r="C12"/>
      <c r="D12"/>
      <c r="I12"/>
      <c r="J12"/>
      <c r="O12" s="11">
        <v>1E-4</v>
      </c>
      <c r="P12" s="12"/>
      <c r="Q12" s="3">
        <f t="shared" si="0"/>
        <v>-0.1100781072570316</v>
      </c>
      <c r="R12" s="3"/>
    </row>
    <row r="13" spans="1:18" x14ac:dyDescent="0.3">
      <c r="C13"/>
      <c r="D13"/>
      <c r="I13"/>
      <c r="J13"/>
      <c r="O13" s="11">
        <v>2.0000000000000001E-4</v>
      </c>
      <c r="P13" s="12"/>
      <c r="Q13" s="3">
        <f t="shared" si="0"/>
        <v>-0.2322734042113539</v>
      </c>
      <c r="R13" s="3"/>
    </row>
    <row r="14" spans="1:18" x14ac:dyDescent="0.3">
      <c r="C14"/>
      <c r="D14"/>
      <c r="I14"/>
      <c r="J14"/>
      <c r="O14" s="11">
        <v>2.9999999999999997E-4</v>
      </c>
      <c r="P14" s="12"/>
      <c r="Q14" s="3">
        <f t="shared" si="0"/>
        <v>-0.36791972817011875</v>
      </c>
      <c r="R14" s="3"/>
    </row>
    <row r="15" spans="1:18" x14ac:dyDescent="0.3">
      <c r="C15"/>
      <c r="D15"/>
      <c r="I15"/>
      <c r="J15"/>
      <c r="O15"/>
      <c r="P15"/>
    </row>
    <row r="16" spans="1:18" x14ac:dyDescent="0.3">
      <c r="C16"/>
      <c r="D16"/>
      <c r="I16"/>
      <c r="J16"/>
      <c r="O16"/>
      <c r="P16"/>
    </row>
    <row r="17" spans="1:18" x14ac:dyDescent="0.3">
      <c r="C17"/>
      <c r="D17"/>
      <c r="I17"/>
      <c r="J17"/>
      <c r="O17"/>
      <c r="P17"/>
    </row>
    <row r="18" spans="1:18" x14ac:dyDescent="0.3">
      <c r="C18"/>
      <c r="D18"/>
      <c r="I18"/>
      <c r="J18"/>
      <c r="O18"/>
      <c r="P18"/>
    </row>
    <row r="19" spans="1:18" x14ac:dyDescent="0.3">
      <c r="C19"/>
      <c r="D19"/>
      <c r="I19"/>
      <c r="J19"/>
      <c r="O19"/>
      <c r="P19"/>
    </row>
    <row r="20" spans="1:18" x14ac:dyDescent="0.3">
      <c r="A20" s="13" t="s">
        <v>10</v>
      </c>
      <c r="B20" s="13"/>
      <c r="C20" s="14" t="s">
        <v>7</v>
      </c>
      <c r="D20" s="14"/>
      <c r="E20" s="14" t="s">
        <v>9</v>
      </c>
      <c r="F20" s="14"/>
      <c r="G20" s="13" t="s">
        <v>8</v>
      </c>
      <c r="H20" s="13"/>
      <c r="I20" s="3" t="s">
        <v>11</v>
      </c>
      <c r="J20" s="3"/>
      <c r="K20" s="3" t="s">
        <v>12</v>
      </c>
      <c r="L20" s="3"/>
      <c r="M20" s="3" t="s">
        <v>13</v>
      </c>
      <c r="N20" s="3"/>
      <c r="O20" s="13" t="s">
        <v>14</v>
      </c>
      <c r="P20" s="13"/>
      <c r="Q20" s="3" t="s">
        <v>15</v>
      </c>
      <c r="R20" s="3"/>
    </row>
    <row r="21" spans="1:18" x14ac:dyDescent="0.3">
      <c r="A21" s="13"/>
      <c r="B21" s="13"/>
      <c r="C21" s="14"/>
      <c r="D21" s="14"/>
      <c r="E21" s="14"/>
      <c r="F21" s="14"/>
      <c r="G21" s="13"/>
      <c r="H21" s="13"/>
      <c r="I21" s="3"/>
      <c r="J21" s="3"/>
      <c r="K21" s="3"/>
      <c r="L21" s="3"/>
      <c r="M21" s="3"/>
      <c r="N21" s="3"/>
      <c r="O21" s="13"/>
      <c r="P21" s="13"/>
      <c r="Q21" s="3"/>
      <c r="R21" s="3"/>
    </row>
    <row r="22" spans="1:18" x14ac:dyDescent="0.3">
      <c r="A22" s="3">
        <v>5000000</v>
      </c>
      <c r="B22" s="3"/>
      <c r="C22" s="3">
        <v>1000</v>
      </c>
      <c r="D22" s="3"/>
      <c r="E22" s="3">
        <f>318*8</f>
        <v>2544</v>
      </c>
      <c r="F22" s="3"/>
      <c r="G22" s="3">
        <f>A22/E22</f>
        <v>1965.4088050314465</v>
      </c>
      <c r="H22" s="3"/>
      <c r="I22" s="3">
        <f>C22/3600</f>
        <v>0.27777777777777779</v>
      </c>
      <c r="J22" s="3"/>
      <c r="K22" s="3">
        <f>I22*(180/0.03)</f>
        <v>1666.6666666666667</v>
      </c>
      <c r="L22" s="3"/>
      <c r="M22" s="3">
        <f>K22/G22</f>
        <v>0.84800000000000009</v>
      </c>
      <c r="N22" s="3"/>
      <c r="O22" s="3">
        <v>0</v>
      </c>
      <c r="P22" s="3"/>
      <c r="Q22" s="3">
        <f>1-EXP(1)^(-$G$22*(1-$M$22)*O22)</f>
        <v>0</v>
      </c>
      <c r="R22" s="3"/>
    </row>
    <row r="23" spans="1:18" x14ac:dyDescent="0.3">
      <c r="A23" s="1"/>
      <c r="B23" s="1"/>
      <c r="E23" s="1"/>
      <c r="F23" s="1"/>
      <c r="G23" s="1"/>
      <c r="H23" s="1"/>
      <c r="K23" s="1"/>
      <c r="L23" s="1"/>
      <c r="M23" s="1"/>
      <c r="N23" s="1"/>
      <c r="O23" s="3">
        <v>1E-3</v>
      </c>
      <c r="P23" s="3"/>
      <c r="Q23" s="3">
        <f t="shared" ref="Q23:Q33" si="1">1-EXP(1)^(-$G$22*(1-$M$22)*O23)</f>
        <v>0.25824934618682516</v>
      </c>
      <c r="R23" s="3"/>
    </row>
    <row r="24" spans="1:18" x14ac:dyDescent="0.3">
      <c r="A24" s="1"/>
      <c r="B24" s="1"/>
      <c r="E24" s="1"/>
      <c r="F24" s="1"/>
      <c r="G24" s="1"/>
      <c r="H24" s="1"/>
      <c r="K24" s="1"/>
      <c r="L24" s="1"/>
      <c r="M24" s="1"/>
      <c r="N24" s="1"/>
      <c r="O24" s="11">
        <v>2E-3</v>
      </c>
      <c r="P24" s="12"/>
      <c r="Q24" s="3">
        <f t="shared" si="1"/>
        <v>0.44980596756772784</v>
      </c>
      <c r="R24" s="3"/>
    </row>
    <row r="25" spans="1:18" x14ac:dyDescent="0.3">
      <c r="A25" s="1"/>
      <c r="B25" s="1"/>
      <c r="E25" s="1"/>
      <c r="F25" s="1"/>
      <c r="G25" s="1"/>
      <c r="H25" s="1"/>
      <c r="K25" s="1"/>
      <c r="L25" s="1"/>
      <c r="M25" s="1"/>
      <c r="N25" s="1"/>
      <c r="O25" s="11">
        <v>3.0000000000000001E-3</v>
      </c>
      <c r="P25" s="12"/>
      <c r="Q25" s="3">
        <f t="shared" si="1"/>
        <v>0.59189321671925499</v>
      </c>
      <c r="R25" s="3"/>
    </row>
    <row r="26" spans="1:18" x14ac:dyDescent="0.3">
      <c r="A26" s="1"/>
      <c r="B26" s="1"/>
      <c r="E26" s="1"/>
      <c r="F26" s="1"/>
      <c r="G26" s="1"/>
      <c r="H26" s="1"/>
      <c r="K26" s="1"/>
      <c r="L26" s="1"/>
      <c r="M26" s="1"/>
      <c r="N26" s="1"/>
      <c r="O26" s="11">
        <v>4.0000000000000001E-3</v>
      </c>
      <c r="P26" s="12"/>
      <c r="Q26" s="3">
        <f t="shared" si="1"/>
        <v>0.69728652667591584</v>
      </c>
      <c r="R26" s="3"/>
    </row>
    <row r="27" spans="1:18" x14ac:dyDescent="0.3">
      <c r="A27" s="1"/>
      <c r="B27" s="1"/>
      <c r="E27" s="1"/>
      <c r="F27" s="1"/>
      <c r="G27" s="1"/>
      <c r="H27" s="1"/>
      <c r="K27" s="1"/>
      <c r="L27" s="1"/>
      <c r="M27" s="1"/>
      <c r="N27" s="1"/>
      <c r="O27" s="11">
        <v>5.0000000000000001E-3</v>
      </c>
      <c r="P27" s="12"/>
      <c r="Q27" s="3">
        <f t="shared" si="1"/>
        <v>0.7754620832438035</v>
      </c>
      <c r="R27" s="3"/>
    </row>
    <row r="28" spans="1:18" x14ac:dyDescent="0.3">
      <c r="A28" s="1"/>
      <c r="B28" s="1"/>
      <c r="E28" s="1"/>
      <c r="F28" s="1"/>
      <c r="G28" s="1"/>
      <c r="H28" s="1"/>
      <c r="K28" s="1"/>
      <c r="L28" s="1"/>
      <c r="M28" s="1"/>
      <c r="N28" s="1"/>
      <c r="O28" s="11">
        <v>6.0000000000000001E-3</v>
      </c>
      <c r="P28" s="12"/>
      <c r="Q28" s="3">
        <f t="shared" si="1"/>
        <v>0.833448853440243</v>
      </c>
      <c r="R28" s="3"/>
    </row>
    <row r="29" spans="1:18" x14ac:dyDescent="0.3">
      <c r="A29" s="1"/>
      <c r="B29" s="1"/>
      <c r="E29" s="1"/>
      <c r="F29" s="1"/>
      <c r="G29" s="1"/>
      <c r="H29" s="1"/>
      <c r="K29" s="1"/>
      <c r="L29" s="1"/>
      <c r="M29" s="1"/>
      <c r="N29" s="1"/>
      <c r="O29" s="11">
        <v>7.0000000000000001E-3</v>
      </c>
      <c r="P29" s="12"/>
      <c r="Q29" s="3">
        <f t="shared" si="1"/>
        <v>0.87646057814596645</v>
      </c>
      <c r="R29" s="3"/>
    </row>
    <row r="30" spans="1:18" x14ac:dyDescent="0.3">
      <c r="A30" s="1"/>
      <c r="B30" s="1"/>
      <c r="E30" s="1"/>
      <c r="F30" s="1"/>
      <c r="G30" s="1"/>
      <c r="H30" s="1"/>
      <c r="K30" s="1"/>
      <c r="L30" s="1"/>
      <c r="M30" s="1"/>
      <c r="N30" s="1"/>
      <c r="O30" s="11">
        <v>8.0000000000000002E-3</v>
      </c>
      <c r="P30" s="12"/>
      <c r="Q30" s="3">
        <f t="shared" si="1"/>
        <v>0.90836455306806896</v>
      </c>
      <c r="R30" s="3"/>
    </row>
    <row r="31" spans="1:18" x14ac:dyDescent="0.3">
      <c r="A31" s="1"/>
      <c r="B31" s="1"/>
      <c r="E31" s="1"/>
      <c r="F31" s="1"/>
      <c r="G31" s="1"/>
      <c r="H31" s="1"/>
      <c r="K31" s="1"/>
      <c r="L31" s="1"/>
      <c r="M31" s="1"/>
      <c r="N31" s="1"/>
      <c r="O31" s="11">
        <v>0.01</v>
      </c>
      <c r="P31" s="12"/>
      <c r="Q31" s="3">
        <f t="shared" si="1"/>
        <v>0.9495827239387874</v>
      </c>
      <c r="R31" s="3"/>
    </row>
    <row r="32" spans="1:18" x14ac:dyDescent="0.3">
      <c r="A32" s="1"/>
      <c r="B32" s="1"/>
      <c r="E32" s="1"/>
      <c r="F32" s="1"/>
      <c r="G32" s="1"/>
      <c r="H32" s="1"/>
      <c r="K32" s="1"/>
      <c r="L32" s="1"/>
      <c r="M32" s="1"/>
      <c r="N32" s="1"/>
      <c r="O32" s="11">
        <v>0.02</v>
      </c>
      <c r="P32" s="12"/>
      <c r="Q32" s="3">
        <f t="shared" si="1"/>
        <v>0.99745809827456744</v>
      </c>
      <c r="R32" s="3"/>
    </row>
    <row r="33" spans="1:18" x14ac:dyDescent="0.3">
      <c r="A33" s="1"/>
      <c r="B33" s="1"/>
      <c r="E33" s="1"/>
      <c r="F33" s="1"/>
      <c r="G33" s="1"/>
      <c r="H33" s="1"/>
      <c r="K33" s="1"/>
      <c r="L33" s="1"/>
      <c r="M33" s="1"/>
      <c r="N33" s="1"/>
      <c r="O33" s="11">
        <v>0.03</v>
      </c>
      <c r="P33" s="12"/>
      <c r="Q33" s="3">
        <f t="shared" si="1"/>
        <v>0.99987184423898845</v>
      </c>
      <c r="R33" s="3"/>
    </row>
  </sheetData>
  <mergeCells count="80">
    <mergeCell ref="O31:P31"/>
    <mergeCell ref="Q31:R31"/>
    <mergeCell ref="O32:P32"/>
    <mergeCell ref="Q32:R32"/>
    <mergeCell ref="O33:P33"/>
    <mergeCell ref="Q33:R33"/>
    <mergeCell ref="Q26:R26"/>
    <mergeCell ref="Q27:R27"/>
    <mergeCell ref="Q28:R28"/>
    <mergeCell ref="Q29:R29"/>
    <mergeCell ref="O30:P30"/>
    <mergeCell ref="Q30:R30"/>
    <mergeCell ref="O26:P26"/>
    <mergeCell ref="O27:P27"/>
    <mergeCell ref="O28:P28"/>
    <mergeCell ref="O29:P29"/>
    <mergeCell ref="K22:L22"/>
    <mergeCell ref="Q22:R22"/>
    <mergeCell ref="Q23:R23"/>
    <mergeCell ref="Q24:R24"/>
    <mergeCell ref="Q25:R25"/>
    <mergeCell ref="M22:N22"/>
    <mergeCell ref="O22:P22"/>
    <mergeCell ref="O23:P23"/>
    <mergeCell ref="O24:P24"/>
    <mergeCell ref="O25:P25"/>
    <mergeCell ref="A22:B22"/>
    <mergeCell ref="C22:D22"/>
    <mergeCell ref="E22:F22"/>
    <mergeCell ref="G22:H22"/>
    <mergeCell ref="I22:J22"/>
    <mergeCell ref="Q11:R11"/>
    <mergeCell ref="Q12:R12"/>
    <mergeCell ref="Q13:R13"/>
    <mergeCell ref="Q14:R14"/>
    <mergeCell ref="A20:B21"/>
    <mergeCell ref="C20:D21"/>
    <mergeCell ref="E20:F21"/>
    <mergeCell ref="G20:H21"/>
    <mergeCell ref="I20:J21"/>
    <mergeCell ref="K20:L21"/>
    <mergeCell ref="M20:N21"/>
    <mergeCell ref="O20:P21"/>
    <mergeCell ref="Q20:R21"/>
    <mergeCell ref="Q6:R6"/>
    <mergeCell ref="Q7:R7"/>
    <mergeCell ref="Q8:R8"/>
    <mergeCell ref="Q9:R9"/>
    <mergeCell ref="Q10:R10"/>
    <mergeCell ref="O3:P3"/>
    <mergeCell ref="Q1:R2"/>
    <mergeCell ref="Q3:R3"/>
    <mergeCell ref="Q4:R4"/>
    <mergeCell ref="Q5:R5"/>
    <mergeCell ref="A1:B2"/>
    <mergeCell ref="A3:B3"/>
    <mergeCell ref="G1:H2"/>
    <mergeCell ref="G3:H3"/>
    <mergeCell ref="O4:P4"/>
    <mergeCell ref="I1:J2"/>
    <mergeCell ref="I3:J3"/>
    <mergeCell ref="K1:L2"/>
    <mergeCell ref="K3:L3"/>
    <mergeCell ref="C1:D2"/>
    <mergeCell ref="C3:D3"/>
    <mergeCell ref="E1:F2"/>
    <mergeCell ref="E3:F3"/>
    <mergeCell ref="M1:N2"/>
    <mergeCell ref="M3:N3"/>
    <mergeCell ref="O1:P2"/>
    <mergeCell ref="O5:P5"/>
    <mergeCell ref="O6:P6"/>
    <mergeCell ref="O7:P7"/>
    <mergeCell ref="O8:P8"/>
    <mergeCell ref="O9:P9"/>
    <mergeCell ref="O10:P10"/>
    <mergeCell ref="O11:P11"/>
    <mergeCell ref="O12:P12"/>
    <mergeCell ref="O13:P13"/>
    <mergeCell ref="O14:P1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1</vt:lpstr>
      <vt:lpstr>2</vt:lpstr>
      <vt:lpstr>3</vt:lpstr>
      <vt:lpstr>4</vt:lpstr>
      <vt:lpstr>Лист1</vt:lpstr>
      <vt:lpstr>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Artemer</dc:creator>
  <cp:lastModifiedBy>Dmitry</cp:lastModifiedBy>
  <dcterms:created xsi:type="dcterms:W3CDTF">2024-10-18T10:53:14Z</dcterms:created>
  <dcterms:modified xsi:type="dcterms:W3CDTF">2025-11-19T11:11:55Z</dcterms:modified>
</cp:coreProperties>
</file>