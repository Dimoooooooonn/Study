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s\Programs\Study\Кибер физ\"/>
    </mc:Choice>
  </mc:AlternateContent>
  <xr:revisionPtr revIDLastSave="0" documentId="13_ncr:1_{EB2BD555-AA70-4780-959D-0A0A06453781}" xr6:coauthVersionLast="47" xr6:coauthVersionMax="47" xr10:uidLastSave="{00000000-0000-0000-0000-000000000000}"/>
  <bookViews>
    <workbookView xWindow="-108" yWindow="-108" windowWidth="23256" windowHeight="14160" activeTab="3" xr2:uid="{DCA69E11-58C5-4FA6-80FB-32D4EBD5B8CF}"/>
  </bookViews>
  <sheets>
    <sheet name="1" sheetId="1" r:id="rId1"/>
    <sheet name="2" sheetId="2" r:id="rId2"/>
    <sheet name="3" sheetId="3" r:id="rId3"/>
    <sheet name="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4" l="1"/>
  <c r="D2" i="4"/>
  <c r="E2" i="4"/>
  <c r="C26" i="3" l="1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25" i="3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50" i="2"/>
  <c r="D43" i="2"/>
  <c r="D44" i="2"/>
  <c r="D45" i="2"/>
  <c r="D46" i="2"/>
  <c r="D47" i="2"/>
  <c r="D38" i="2"/>
  <c r="D39" i="2"/>
  <c r="D40" i="2"/>
  <c r="D41" i="2"/>
  <c r="D42" i="2"/>
  <c r="D28" i="2"/>
  <c r="D29" i="2"/>
  <c r="D30" i="2"/>
  <c r="D31" i="2"/>
  <c r="D32" i="2"/>
  <c r="D33" i="2"/>
  <c r="D34" i="2"/>
  <c r="D35" i="2"/>
  <c r="D36" i="2"/>
  <c r="D37" i="2"/>
  <c r="C2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" i="2"/>
  <c r="D2" i="1"/>
  <c r="A2" i="4"/>
</calcChain>
</file>

<file path=xl/sharedStrings.xml><?xml version="1.0" encoding="utf-8"?>
<sst xmlns="http://schemas.openxmlformats.org/spreadsheetml/2006/main" count="24" uniqueCount="11">
  <si>
    <t>lam</t>
  </si>
  <si>
    <t>t</t>
  </si>
  <si>
    <t>P(t)</t>
  </si>
  <si>
    <t>k</t>
  </si>
  <si>
    <t>x1</t>
  </si>
  <si>
    <t>x2</t>
  </si>
  <si>
    <t>la</t>
  </si>
  <si>
    <t>P(k)</t>
  </si>
  <si>
    <t>u1</t>
  </si>
  <si>
    <t>u2</t>
  </si>
  <si>
    <t>H(t)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</si>
</sst>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'2'!$D$1</c:f>
              <c:strCache>
                <c:ptCount val="1"/>
                <c:pt idx="0">
                  <c:v>P(k)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'2'!$C$2:$C$47</c:f>
              <c:numCache>
                <c:formatCode>General</c:formatCode>
                <c:ptCount val="4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</c:numCache>
            </c:numRef>
          </c:xVal>
          <c:yVal>
            <c:numRef>
              <c:f>'2'!$D$2:$D$47</c:f>
              <c:numCache>
                <c:formatCode>General</c:formatCode>
                <c:ptCount val="46"/>
                <c:pt idx="0">
                  <c:v>6.3051167601469892E-16</c:v>
                </c:pt>
                <c:pt idx="1">
                  <c:v>2.2067908660514462E-14</c:v>
                </c:pt>
                <c:pt idx="2">
                  <c:v>3.8618840155900309E-13</c:v>
                </c:pt>
                <c:pt idx="3">
                  <c:v>4.5055313515217026E-12</c:v>
                </c:pt>
                <c:pt idx="4">
                  <c:v>3.9423399325814897E-11</c:v>
                </c:pt>
                <c:pt idx="5">
                  <c:v>2.7596379528070431E-10</c:v>
                </c:pt>
                <c:pt idx="6">
                  <c:v>1.6097888058041085E-9</c:v>
                </c:pt>
                <c:pt idx="7">
                  <c:v>8.0489440290205417E-9</c:v>
                </c:pt>
                <c:pt idx="8">
                  <c:v>3.5214130126964874E-8</c:v>
                </c:pt>
                <c:pt idx="9">
                  <c:v>1.3694383938264116E-7</c:v>
                </c:pt>
                <c:pt idx="10">
                  <c:v>4.7930343783924415E-7</c:v>
                </c:pt>
                <c:pt idx="11">
                  <c:v>1.5250563931248676E-6</c:v>
                </c:pt>
                <c:pt idx="12">
                  <c:v>4.448081146614197E-6</c:v>
                </c:pt>
                <c:pt idx="13">
                  <c:v>1.1975603087038223E-5</c:v>
                </c:pt>
                <c:pt idx="14">
                  <c:v>2.9939007717595554E-5</c:v>
                </c:pt>
                <c:pt idx="15">
                  <c:v>6.9857684674389631E-5</c:v>
                </c:pt>
                <c:pt idx="16">
                  <c:v>1.5281368522522732E-4</c:v>
                </c:pt>
                <c:pt idx="17">
                  <c:v>3.1461641075782097E-4</c:v>
                </c:pt>
                <c:pt idx="18">
                  <c:v>6.1175413202909637E-4</c:v>
                </c:pt>
                <c:pt idx="19">
                  <c:v>1.1269155063693879E-3</c:v>
                </c:pt>
                <c:pt idx="20">
                  <c:v>1.9721021361464291E-3</c:v>
                </c:pt>
                <c:pt idx="21">
                  <c:v>3.2868368935773818E-3</c:v>
                </c:pt>
                <c:pt idx="22">
                  <c:v>5.2290586943276526E-3</c:v>
                </c:pt>
                <c:pt idx="23">
                  <c:v>7.9572632304986003E-3</c:v>
                </c:pt>
                <c:pt idx="24">
                  <c:v>1.1604342211143795E-2</c:v>
                </c:pt>
                <c:pt idx="25">
                  <c:v>1.6246079095601315E-2</c:v>
                </c:pt>
                <c:pt idx="26">
                  <c:v>2.1869721859463297E-2</c:v>
                </c:pt>
                <c:pt idx="27">
                  <c:v>2.8349639447452432E-2</c:v>
                </c:pt>
                <c:pt idx="28">
                  <c:v>3.5437049309315544E-2</c:v>
                </c:pt>
                <c:pt idx="29">
                  <c:v>4.2768852614691176E-2</c:v>
                </c:pt>
                <c:pt idx="30">
                  <c:v>4.9896994717139688E-2</c:v>
                </c:pt>
                <c:pt idx="31">
                  <c:v>5.6335316616125453E-2</c:v>
                </c:pt>
                <c:pt idx="32">
                  <c:v>6.1616752548887217E-2</c:v>
                </c:pt>
                <c:pt idx="33">
                  <c:v>6.5351101188213703E-2</c:v>
                </c:pt>
                <c:pt idx="34">
                  <c:v>6.7273192399631782E-2</c:v>
                </c:pt>
                <c:pt idx="35">
                  <c:v>6.7273192399631768E-2</c:v>
                </c:pt>
                <c:pt idx="36">
                  <c:v>6.5404492610753096E-2</c:v>
                </c:pt>
                <c:pt idx="37">
                  <c:v>6.1869114631793481E-2</c:v>
                </c:pt>
                <c:pt idx="38">
                  <c:v>5.698471084507295E-2</c:v>
                </c:pt>
                <c:pt idx="39">
                  <c:v>5.1140125117373147E-2</c:v>
                </c:pt>
                <c:pt idx="40">
                  <c:v>4.4747609477701497E-2</c:v>
                </c:pt>
                <c:pt idx="41">
                  <c:v>3.8199178822428133E-2</c:v>
                </c:pt>
                <c:pt idx="42">
                  <c:v>3.1832649018690089E-2</c:v>
                </c:pt>
                <c:pt idx="43">
                  <c:v>2.5910295712887287E-2</c:v>
                </c:pt>
                <c:pt idx="44">
                  <c:v>2.0610462498887611E-2</c:v>
                </c:pt>
                <c:pt idx="45">
                  <c:v>1.6030359721357034E-2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34-4AEA-8BFA-D6802C515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344864"/>
        <c:axId val="1635299872"/>
      </c:scatterChart>
      <c:valAx>
        <c:axId val="129634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5299872"/>
        <c:crosses val="autoZero"/>
        <c:crossBetween val="midCat"/>
      </c:valAx>
      <c:valAx>
        <c:axId val="163529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6344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'2'!$D$49</c:f>
              <c:strCache>
                <c:ptCount val="1"/>
                <c:pt idx="0">
                  <c:v>P(k)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'2'!$C$50:$C$95</c:f>
              <c:numCache>
                <c:formatCode>General</c:formatCode>
                <c:ptCount val="4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</c:numCache>
            </c:numRef>
          </c:xVal>
          <c:yVal>
            <c:numRef>
              <c:f>'2'!$D$50:$D$95</c:f>
              <c:numCache>
                <c:formatCode>General</c:formatCode>
                <c:ptCount val="46"/>
                <c:pt idx="0">
                  <c:v>0.93239381990594827</c:v>
                </c:pt>
                <c:pt idx="1">
                  <c:v>6.5267567393416381E-2</c:v>
                </c:pt>
                <c:pt idx="2">
                  <c:v>2.2843648587695738E-3</c:v>
                </c:pt>
                <c:pt idx="3">
                  <c:v>5.3301846704623389E-5</c:v>
                </c:pt>
                <c:pt idx="4">
                  <c:v>9.3278231733090931E-7</c:v>
                </c:pt>
                <c:pt idx="5">
                  <c:v>1.3058952442632731E-8</c:v>
                </c:pt>
                <c:pt idx="6">
                  <c:v>1.5235444516404855E-10</c:v>
                </c:pt>
                <c:pt idx="7">
                  <c:v>1.5235444516404855E-12</c:v>
                </c:pt>
                <c:pt idx="8">
                  <c:v>1.333101395185425E-14</c:v>
                </c:pt>
                <c:pt idx="9">
                  <c:v>1.0368566406997751E-16</c:v>
                </c:pt>
                <c:pt idx="10">
                  <c:v>7.2579964848984253E-19</c:v>
                </c:pt>
                <c:pt idx="11">
                  <c:v>4.618725035844453E-21</c:v>
                </c:pt>
                <c:pt idx="12">
                  <c:v>2.6942562709092641E-23</c:v>
                </c:pt>
                <c:pt idx="13">
                  <c:v>1.4507533766434502E-25</c:v>
                </c:pt>
                <c:pt idx="14">
                  <c:v>7.2537668832172513E-28</c:v>
                </c:pt>
                <c:pt idx="15">
                  <c:v>3.3850912121680505E-30</c:v>
                </c:pt>
                <c:pt idx="16">
                  <c:v>1.4809774053235222E-32</c:v>
                </c:pt>
                <c:pt idx="17">
                  <c:v>6.0981422572145039E-35</c:v>
                </c:pt>
                <c:pt idx="18">
                  <c:v>2.3714997666945296E-37</c:v>
                </c:pt>
                <c:pt idx="19">
                  <c:v>8.7371044036114266E-40</c:v>
                </c:pt>
                <c:pt idx="20">
                  <c:v>3.0579865412639994E-42</c:v>
                </c:pt>
                <c:pt idx="21">
                  <c:v>1.0193288470879998E-44</c:v>
                </c:pt>
                <c:pt idx="22">
                  <c:v>3.2433190589163632E-47</c:v>
                </c:pt>
                <c:pt idx="23">
                  <c:v>9.8709710488758863E-50</c:v>
                </c:pt>
                <c:pt idx="24">
                  <c:v>2.8790332225888009E-52</c:v>
                </c:pt>
                <c:pt idx="25">
                  <c:v>8.0612930232486443E-55</c:v>
                </c:pt>
                <c:pt idx="26">
                  <c:v>2.1703481216438652E-57</c:v>
                </c:pt>
                <c:pt idx="27">
                  <c:v>5.6268284635211348E-60</c:v>
                </c:pt>
                <c:pt idx="28">
                  <c:v>1.4067071158802837E-62</c:v>
                </c:pt>
                <c:pt idx="29">
                  <c:v>3.3954999348834437E-65</c:v>
                </c:pt>
                <c:pt idx="30">
                  <c:v>7.9228331813947011E-68</c:v>
                </c:pt>
                <c:pt idx="31">
                  <c:v>1.7890268474117064E-70</c:v>
                </c:pt>
                <c:pt idx="32">
                  <c:v>3.9134962287131093E-73</c:v>
                </c:pt>
                <c:pt idx="33">
                  <c:v>8.3013556366641703E-76</c:v>
                </c:pt>
                <c:pt idx="34">
                  <c:v>1.7091026310779182E-78</c:v>
                </c:pt>
                <c:pt idx="35">
                  <c:v>3.4182052621558362E-81</c:v>
                </c:pt>
                <c:pt idx="36">
                  <c:v>6.6465102319696794E-84</c:v>
                </c:pt>
                <c:pt idx="37">
                  <c:v>1.2574478817239937E-86</c:v>
                </c:pt>
                <c:pt idx="38">
                  <c:v>2.3163513610705155E-89</c:v>
                </c:pt>
                <c:pt idx="39">
                  <c:v>4.1575537249983598E-92</c:v>
                </c:pt>
                <c:pt idx="40">
                  <c:v>7.2757190187471301E-95</c:v>
                </c:pt>
                <c:pt idx="41">
                  <c:v>1.2421959300299985E-97</c:v>
                </c:pt>
                <c:pt idx="42">
                  <c:v>2.0703265500499968E-100</c:v>
                </c:pt>
                <c:pt idx="43">
                  <c:v>3.3702990349651115E-103</c:v>
                </c:pt>
                <c:pt idx="44">
                  <c:v>5.361839373808131E-106</c:v>
                </c:pt>
                <c:pt idx="45">
                  <c:v>8.3406390259237614E-109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07-4E1E-9AAC-8DC7CA4C8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669904"/>
        <c:axId val="1703160384"/>
      </c:scatterChart>
      <c:valAx>
        <c:axId val="110366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03160384"/>
        <c:crosses val="autoZero"/>
        <c:crossBetween val="midCat"/>
      </c:valAx>
      <c:valAx>
        <c:axId val="170316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3669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'3'!$C$1</c:f>
              <c:strCache>
                <c:ptCount val="1"/>
                <c:pt idx="0">
                  <c:v>H(t)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'3'!$B$2:$B$22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'3'!$C$2:$C$22</c:f>
              <c:numCache>
                <c:formatCode>General</c:formatCode>
                <c:ptCount val="21"/>
                <c:pt idx="0">
                  <c:v>0</c:v>
                </c:pt>
                <c:pt idx="1">
                  <c:v>0.22119921692859512</c:v>
                </c:pt>
                <c:pt idx="2">
                  <c:v>0.39346934028736658</c:v>
                </c:pt>
                <c:pt idx="3">
                  <c:v>0.52763344725898531</c:v>
                </c:pt>
                <c:pt idx="4">
                  <c:v>0.63212055882855767</c:v>
                </c:pt>
                <c:pt idx="5">
                  <c:v>0.71349520313980985</c:v>
                </c:pt>
                <c:pt idx="6">
                  <c:v>0.77686983985157021</c:v>
                </c:pt>
                <c:pt idx="7">
                  <c:v>0.82622605654955483</c:v>
                </c:pt>
                <c:pt idx="8">
                  <c:v>0.8646647167633873</c:v>
                </c:pt>
                <c:pt idx="9">
                  <c:v>0.89460077543813565</c:v>
                </c:pt>
                <c:pt idx="10">
                  <c:v>0.91791500137610116</c:v>
                </c:pt>
                <c:pt idx="11">
                  <c:v>0.93607213879329243</c:v>
                </c:pt>
                <c:pt idx="12">
                  <c:v>0.95021293163213605</c:v>
                </c:pt>
                <c:pt idx="13">
                  <c:v>0.96122579216827797</c:v>
                </c:pt>
                <c:pt idx="14">
                  <c:v>0.96980261657768152</c:v>
                </c:pt>
                <c:pt idx="15">
                  <c:v>0.97648225414399092</c:v>
                </c:pt>
                <c:pt idx="16">
                  <c:v>0.98168436111126578</c:v>
                </c:pt>
                <c:pt idx="17">
                  <c:v>0.98573576609100078</c:v>
                </c:pt>
                <c:pt idx="18">
                  <c:v>0.98889100346175773</c:v>
                </c:pt>
                <c:pt idx="19">
                  <c:v>0.99134830479687941</c:v>
                </c:pt>
                <c:pt idx="20">
                  <c:v>0.99326205300091452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39-4E36-97FD-A8D5F4B09454}"/>
            </c:ext>
          </c:extLst>
        </c:ser>
        <c:ser>
          <c:idx val="1"/>
          <c:order val="1"/>
          <c:tx>
            <c:v>P2(t)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'3'!$B$25:$B$45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'3'!$C$25:$C$45</c:f>
              <c:numCache>
                <c:formatCode>General</c:formatCode>
                <c:ptCount val="21"/>
                <c:pt idx="0">
                  <c:v>0</c:v>
                </c:pt>
                <c:pt idx="1">
                  <c:v>0.29531191028128656</c:v>
                </c:pt>
                <c:pt idx="2">
                  <c:v>0.50341469620859058</c:v>
                </c:pt>
                <c:pt idx="3">
                  <c:v>0.65006225088884473</c:v>
                </c:pt>
                <c:pt idx="4">
                  <c:v>0.75340303605839354</c:v>
                </c:pt>
                <c:pt idx="5">
                  <c:v>0.82622605654955483</c:v>
                </c:pt>
                <c:pt idx="6">
                  <c:v>0.87754357174701814</c:v>
                </c:pt>
                <c:pt idx="7">
                  <c:v>0.91370641350062942</c:v>
                </c:pt>
                <c:pt idx="8">
                  <c:v>0.93918993737478207</c:v>
                </c:pt>
                <c:pt idx="9">
                  <c:v>0.95714787313295979</c:v>
                </c:pt>
                <c:pt idx="10">
                  <c:v>0.96980261657768152</c:v>
                </c:pt>
                <c:pt idx="11">
                  <c:v>0.97872026356162289</c:v>
                </c:pt>
                <c:pt idx="12">
                  <c:v>0.9850044231795223</c:v>
                </c:pt>
                <c:pt idx="13">
                  <c:v>0.98943279561614739</c:v>
                </c:pt>
                <c:pt idx="14">
                  <c:v>0.99255341692907562</c:v>
                </c:pt>
                <c:pt idx="15">
                  <c:v>0.99475248160081864</c:v>
                </c:pt>
                <c:pt idx="16">
                  <c:v>0.99630213628351705</c:v>
                </c:pt>
                <c:pt idx="17">
                  <c:v>0.99739415948159149</c:v>
                </c:pt>
                <c:pt idx="18">
                  <c:v>0.9981636952229711</c:v>
                </c:pt>
                <c:pt idx="19">
                  <c:v>0.99870597789453419</c:v>
                </c:pt>
                <c:pt idx="20">
                  <c:v>0.99908811803444553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39-4E36-97FD-A8D5F4B09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3438160"/>
        <c:axId val="1752300112"/>
      </c:scatterChart>
      <c:valAx>
        <c:axId val="163343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2300112"/>
        <c:crosses val="autoZero"/>
        <c:crossBetween val="midCat"/>
      </c:valAx>
      <c:valAx>
        <c:axId val="175230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3438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0</xdr:row>
      <xdr:rowOff>71996</xdr:rowOff>
    </xdr:from>
    <xdr:to>
      <xdr:col>7</xdr:col>
      <xdr:colOff>600075</xdr:colOff>
      <xdr:row>2</xdr:row>
      <xdr:rowOff>161985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0DA5208-FB89-4D95-B8DE-EFC4117B1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7550" y="71996"/>
          <a:ext cx="1800225" cy="4709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5</xdr:row>
      <xdr:rowOff>137160</xdr:rowOff>
    </xdr:from>
    <xdr:to>
      <xdr:col>20</xdr:col>
      <xdr:colOff>259080</xdr:colOff>
      <xdr:row>20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B67C60-F09F-495B-9392-E0147EBB4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518160</xdr:colOff>
      <xdr:row>48</xdr:row>
      <xdr:rowOff>129540</xdr:rowOff>
    </xdr:from>
    <xdr:to>
      <xdr:col>21</xdr:col>
      <xdr:colOff>548640</xdr:colOff>
      <xdr:row>63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5AC0CD-B2FD-44E1-90C1-CBB1C6997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9525</xdr:colOff>
      <xdr:row>0</xdr:row>
      <xdr:rowOff>47626</xdr:rowOff>
    </xdr:from>
    <xdr:to>
      <xdr:col>8</xdr:col>
      <xdr:colOff>1287</xdr:colOff>
      <xdr:row>2</xdr:row>
      <xdr:rowOff>142936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CCA56E0-B00C-45E7-ACDE-ABBF59F26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48025" y="47626"/>
          <a:ext cx="1820562" cy="4763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167640</xdr:rowOff>
    </xdr:from>
    <xdr:to>
      <xdr:col>15</xdr:col>
      <xdr:colOff>228600</xdr:colOff>
      <xdr:row>21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4269FE-0376-4694-BB21-58D0FD409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9525</xdr:colOff>
      <xdr:row>0</xdr:row>
      <xdr:rowOff>66675</xdr:rowOff>
    </xdr:from>
    <xdr:to>
      <xdr:col>8</xdr:col>
      <xdr:colOff>133708</xdr:colOff>
      <xdr:row>3</xdr:row>
      <xdr:rowOff>9597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048A5E1-D822-4690-BA18-5C0C8DBAF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47925" y="66675"/>
          <a:ext cx="2562583" cy="5144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</xdr:colOff>
      <xdr:row>0</xdr:row>
      <xdr:rowOff>47624</xdr:rowOff>
    </xdr:from>
    <xdr:to>
      <xdr:col>10</xdr:col>
      <xdr:colOff>92075</xdr:colOff>
      <xdr:row>2</xdr:row>
      <xdr:rowOff>133349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ECC261F-BCEC-4051-9F4D-15B346CA2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7225" y="47624"/>
          <a:ext cx="1911350" cy="466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3DFA0-EBAC-4AAB-B5E6-D3A22FC318B6}">
  <dimension ref="A1:D2"/>
  <sheetViews>
    <sheetView workbookViewId="0">
      <selection activeCell="M6" sqref="M6"/>
    </sheetView>
  </sheetViews>
  <sheetFormatPr defaultRowHeight="14.4" x14ac:dyDescent="0.3"/>
  <cols>
    <col min="4" max="4" width="12" bestFit="1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>
        <v>5</v>
      </c>
      <c r="B2">
        <v>7</v>
      </c>
      <c r="C2">
        <v>0</v>
      </c>
      <c r="D2">
        <f>(A2*B2)^C2/FACT(C2)*EXP(-A2*B2)</f>
        <v>6.3051167601469892E-16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8CFE6-69E1-40E6-9D79-A3D72CBDD5E1}">
  <dimension ref="A1:D95"/>
  <sheetViews>
    <sheetView topLeftCell="A19" workbookViewId="0">
      <selection activeCell="E37" sqref="E37"/>
    </sheetView>
  </sheetViews>
  <sheetFormatPr defaultRowHeight="14.4" x14ac:dyDescent="0.3"/>
  <cols>
    <col min="4" max="4" width="12" bestFit="1" customWidth="1"/>
  </cols>
  <sheetData>
    <row r="1" spans="1:4" x14ac:dyDescent="0.3">
      <c r="A1" t="s">
        <v>6</v>
      </c>
      <c r="B1" t="s">
        <v>1</v>
      </c>
      <c r="C1" t="s">
        <v>3</v>
      </c>
      <c r="D1" t="s">
        <v>7</v>
      </c>
    </row>
    <row r="2" spans="1:4" x14ac:dyDescent="0.3">
      <c r="A2">
        <v>5</v>
      </c>
      <c r="B2">
        <v>7</v>
      </c>
      <c r="C2">
        <v>0</v>
      </c>
      <c r="D2">
        <f>($A$2*$B$2)^C2/FACT(C2)*EXP(-$A$2*$B$2)</f>
        <v>6.3051167601469892E-16</v>
      </c>
    </row>
    <row r="3" spans="1:4" x14ac:dyDescent="0.3">
      <c r="C3">
        <v>1</v>
      </c>
      <c r="D3">
        <f t="shared" ref="D3:D47" si="0">($A$2*$B$2)^C3/FACT(C3)*EXP(-$A$2*$B$2)</f>
        <v>2.2067908660514462E-14</v>
      </c>
    </row>
    <row r="4" spans="1:4" x14ac:dyDescent="0.3">
      <c r="C4">
        <v>2</v>
      </c>
      <c r="D4">
        <f t="shared" si="0"/>
        <v>3.8618840155900309E-13</v>
      </c>
    </row>
    <row r="5" spans="1:4" x14ac:dyDescent="0.3">
      <c r="C5">
        <v>3</v>
      </c>
      <c r="D5">
        <f t="shared" si="0"/>
        <v>4.5055313515217026E-12</v>
      </c>
    </row>
    <row r="6" spans="1:4" x14ac:dyDescent="0.3">
      <c r="C6">
        <v>4</v>
      </c>
      <c r="D6">
        <f t="shared" si="0"/>
        <v>3.9423399325814897E-11</v>
      </c>
    </row>
    <row r="7" spans="1:4" x14ac:dyDescent="0.3">
      <c r="C7">
        <v>5</v>
      </c>
      <c r="D7">
        <f t="shared" si="0"/>
        <v>2.7596379528070431E-10</v>
      </c>
    </row>
    <row r="8" spans="1:4" x14ac:dyDescent="0.3">
      <c r="C8">
        <v>6</v>
      </c>
      <c r="D8">
        <f t="shared" si="0"/>
        <v>1.6097888058041085E-9</v>
      </c>
    </row>
    <row r="9" spans="1:4" x14ac:dyDescent="0.3">
      <c r="C9">
        <v>7</v>
      </c>
      <c r="D9">
        <f t="shared" si="0"/>
        <v>8.0489440290205417E-9</v>
      </c>
    </row>
    <row r="10" spans="1:4" x14ac:dyDescent="0.3">
      <c r="C10">
        <v>8</v>
      </c>
      <c r="D10">
        <f t="shared" si="0"/>
        <v>3.5214130126964874E-8</v>
      </c>
    </row>
    <row r="11" spans="1:4" x14ac:dyDescent="0.3">
      <c r="C11">
        <v>9</v>
      </c>
      <c r="D11">
        <f t="shared" si="0"/>
        <v>1.3694383938264116E-7</v>
      </c>
    </row>
    <row r="12" spans="1:4" x14ac:dyDescent="0.3">
      <c r="C12">
        <v>10</v>
      </c>
      <c r="D12">
        <f t="shared" si="0"/>
        <v>4.7930343783924415E-7</v>
      </c>
    </row>
    <row r="13" spans="1:4" x14ac:dyDescent="0.3">
      <c r="C13">
        <v>11</v>
      </c>
      <c r="D13">
        <f t="shared" si="0"/>
        <v>1.5250563931248676E-6</v>
      </c>
    </row>
    <row r="14" spans="1:4" x14ac:dyDescent="0.3">
      <c r="C14">
        <v>12</v>
      </c>
      <c r="D14">
        <f t="shared" si="0"/>
        <v>4.448081146614197E-6</v>
      </c>
    </row>
    <row r="15" spans="1:4" x14ac:dyDescent="0.3">
      <c r="C15">
        <v>13</v>
      </c>
      <c r="D15">
        <f t="shared" si="0"/>
        <v>1.1975603087038223E-5</v>
      </c>
    </row>
    <row r="16" spans="1:4" x14ac:dyDescent="0.3">
      <c r="C16">
        <v>14</v>
      </c>
      <c r="D16">
        <f t="shared" si="0"/>
        <v>2.9939007717595554E-5</v>
      </c>
    </row>
    <row r="17" spans="3:4" x14ac:dyDescent="0.3">
      <c r="C17">
        <v>15</v>
      </c>
      <c r="D17">
        <f t="shared" si="0"/>
        <v>6.9857684674389631E-5</v>
      </c>
    </row>
    <row r="18" spans="3:4" x14ac:dyDescent="0.3">
      <c r="C18">
        <v>16</v>
      </c>
      <c r="D18">
        <f t="shared" si="0"/>
        <v>1.5281368522522732E-4</v>
      </c>
    </row>
    <row r="19" spans="3:4" x14ac:dyDescent="0.3">
      <c r="C19">
        <v>17</v>
      </c>
      <c r="D19">
        <f t="shared" si="0"/>
        <v>3.1461641075782097E-4</v>
      </c>
    </row>
    <row r="20" spans="3:4" x14ac:dyDescent="0.3">
      <c r="C20">
        <v>18</v>
      </c>
      <c r="D20">
        <f t="shared" si="0"/>
        <v>6.1175413202909637E-4</v>
      </c>
    </row>
    <row r="21" spans="3:4" x14ac:dyDescent="0.3">
      <c r="C21">
        <v>19</v>
      </c>
      <c r="D21">
        <f t="shared" si="0"/>
        <v>1.1269155063693879E-3</v>
      </c>
    </row>
    <row r="22" spans="3:4" x14ac:dyDescent="0.3">
      <c r="C22">
        <v>20</v>
      </c>
      <c r="D22">
        <f t="shared" si="0"/>
        <v>1.9721021361464291E-3</v>
      </c>
    </row>
    <row r="23" spans="3:4" x14ac:dyDescent="0.3">
      <c r="C23">
        <v>21</v>
      </c>
      <c r="D23">
        <f t="shared" si="0"/>
        <v>3.2868368935773818E-3</v>
      </c>
    </row>
    <row r="24" spans="3:4" x14ac:dyDescent="0.3">
      <c r="C24">
        <v>22</v>
      </c>
      <c r="D24">
        <f t="shared" si="0"/>
        <v>5.2290586943276526E-3</v>
      </c>
    </row>
    <row r="25" spans="3:4" x14ac:dyDescent="0.3">
      <c r="C25">
        <v>23</v>
      </c>
      <c r="D25">
        <f t="shared" si="0"/>
        <v>7.9572632304986003E-3</v>
      </c>
    </row>
    <row r="26" spans="3:4" x14ac:dyDescent="0.3">
      <c r="C26">
        <v>24</v>
      </c>
      <c r="D26">
        <f t="shared" si="0"/>
        <v>1.1604342211143795E-2</v>
      </c>
    </row>
    <row r="27" spans="3:4" x14ac:dyDescent="0.3">
      <c r="C27">
        <v>25</v>
      </c>
      <c r="D27">
        <f t="shared" si="0"/>
        <v>1.6246079095601315E-2</v>
      </c>
    </row>
    <row r="28" spans="3:4" x14ac:dyDescent="0.3">
      <c r="C28">
        <v>26</v>
      </c>
      <c r="D28">
        <f t="shared" si="0"/>
        <v>2.1869721859463297E-2</v>
      </c>
    </row>
    <row r="29" spans="3:4" x14ac:dyDescent="0.3">
      <c r="C29">
        <v>27</v>
      </c>
      <c r="D29">
        <f t="shared" si="0"/>
        <v>2.8349639447452432E-2</v>
      </c>
    </row>
    <row r="30" spans="3:4" x14ac:dyDescent="0.3">
      <c r="C30">
        <v>28</v>
      </c>
      <c r="D30">
        <f t="shared" si="0"/>
        <v>3.5437049309315544E-2</v>
      </c>
    </row>
    <row r="31" spans="3:4" x14ac:dyDescent="0.3">
      <c r="C31">
        <v>29</v>
      </c>
      <c r="D31">
        <f t="shared" si="0"/>
        <v>4.2768852614691176E-2</v>
      </c>
    </row>
    <row r="32" spans="3:4" x14ac:dyDescent="0.3">
      <c r="C32">
        <v>30</v>
      </c>
      <c r="D32">
        <f t="shared" si="0"/>
        <v>4.9896994717139688E-2</v>
      </c>
    </row>
    <row r="33" spans="3:4" x14ac:dyDescent="0.3">
      <c r="C33">
        <v>31</v>
      </c>
      <c r="D33">
        <f t="shared" si="0"/>
        <v>5.6335316616125453E-2</v>
      </c>
    </row>
    <row r="34" spans="3:4" x14ac:dyDescent="0.3">
      <c r="C34">
        <v>32</v>
      </c>
      <c r="D34">
        <f t="shared" si="0"/>
        <v>6.1616752548887217E-2</v>
      </c>
    </row>
    <row r="35" spans="3:4" x14ac:dyDescent="0.3">
      <c r="C35">
        <v>33</v>
      </c>
      <c r="D35">
        <f t="shared" si="0"/>
        <v>6.5351101188213703E-2</v>
      </c>
    </row>
    <row r="36" spans="3:4" x14ac:dyDescent="0.3">
      <c r="C36">
        <v>34</v>
      </c>
      <c r="D36">
        <f t="shared" si="0"/>
        <v>6.7273192399631782E-2</v>
      </c>
    </row>
    <row r="37" spans="3:4" x14ac:dyDescent="0.3">
      <c r="C37">
        <v>35</v>
      </c>
      <c r="D37" s="1">
        <f t="shared" si="0"/>
        <v>6.7273192399631768E-2</v>
      </c>
    </row>
    <row r="38" spans="3:4" x14ac:dyDescent="0.3">
      <c r="C38">
        <v>36</v>
      </c>
      <c r="D38">
        <f t="shared" si="0"/>
        <v>6.5404492610753096E-2</v>
      </c>
    </row>
    <row r="39" spans="3:4" x14ac:dyDescent="0.3">
      <c r="C39">
        <v>37</v>
      </c>
      <c r="D39">
        <f t="shared" si="0"/>
        <v>6.1869114631793481E-2</v>
      </c>
    </row>
    <row r="40" spans="3:4" x14ac:dyDescent="0.3">
      <c r="C40">
        <v>38</v>
      </c>
      <c r="D40">
        <f t="shared" si="0"/>
        <v>5.698471084507295E-2</v>
      </c>
    </row>
    <row r="41" spans="3:4" x14ac:dyDescent="0.3">
      <c r="C41">
        <v>39</v>
      </c>
      <c r="D41">
        <f t="shared" si="0"/>
        <v>5.1140125117373147E-2</v>
      </c>
    </row>
    <row r="42" spans="3:4" x14ac:dyDescent="0.3">
      <c r="C42">
        <v>40</v>
      </c>
      <c r="D42">
        <f t="shared" si="0"/>
        <v>4.4747609477701497E-2</v>
      </c>
    </row>
    <row r="43" spans="3:4" x14ac:dyDescent="0.3">
      <c r="C43">
        <v>41</v>
      </c>
      <c r="D43">
        <f t="shared" si="0"/>
        <v>3.8199178822428133E-2</v>
      </c>
    </row>
    <row r="44" spans="3:4" x14ac:dyDescent="0.3">
      <c r="C44">
        <v>42</v>
      </c>
      <c r="D44">
        <f t="shared" si="0"/>
        <v>3.1832649018690089E-2</v>
      </c>
    </row>
    <row r="45" spans="3:4" x14ac:dyDescent="0.3">
      <c r="C45">
        <v>43</v>
      </c>
      <c r="D45">
        <f t="shared" si="0"/>
        <v>2.5910295712887287E-2</v>
      </c>
    </row>
    <row r="46" spans="3:4" x14ac:dyDescent="0.3">
      <c r="C46">
        <v>44</v>
      </c>
      <c r="D46">
        <f t="shared" si="0"/>
        <v>2.0610462498887611E-2</v>
      </c>
    </row>
    <row r="47" spans="3:4" x14ac:dyDescent="0.3">
      <c r="C47">
        <v>45</v>
      </c>
      <c r="D47">
        <f t="shared" si="0"/>
        <v>1.6030359721357034E-2</v>
      </c>
    </row>
    <row r="49" spans="1:4" x14ac:dyDescent="0.3">
      <c r="A49" t="s">
        <v>6</v>
      </c>
      <c r="B49" t="s">
        <v>1</v>
      </c>
      <c r="C49" t="s">
        <v>3</v>
      </c>
      <c r="D49" t="s">
        <v>7</v>
      </c>
    </row>
    <row r="50" spans="1:4" x14ac:dyDescent="0.3">
      <c r="A50">
        <v>7</v>
      </c>
      <c r="B50">
        <v>0.01</v>
      </c>
      <c r="C50">
        <v>0</v>
      </c>
      <c r="D50" s="1">
        <f>($A$50*$B$50)^C50/FACT(C50)*EXP(-$A$50*$B$50)</f>
        <v>0.93239381990594827</v>
      </c>
    </row>
    <row r="51" spans="1:4" x14ac:dyDescent="0.3">
      <c r="C51">
        <v>1</v>
      </c>
      <c r="D51">
        <f t="shared" ref="D51:D95" si="1">($A$50*$B$50)^C51/FACT(C51)*EXP(-$A$50*$B$50)</f>
        <v>6.5267567393416381E-2</v>
      </c>
    </row>
    <row r="52" spans="1:4" x14ac:dyDescent="0.3">
      <c r="C52">
        <v>2</v>
      </c>
      <c r="D52">
        <f t="shared" si="1"/>
        <v>2.2843648587695738E-3</v>
      </c>
    </row>
    <row r="53" spans="1:4" x14ac:dyDescent="0.3">
      <c r="C53">
        <v>3</v>
      </c>
      <c r="D53">
        <f t="shared" si="1"/>
        <v>5.3301846704623389E-5</v>
      </c>
    </row>
    <row r="54" spans="1:4" x14ac:dyDescent="0.3">
      <c r="C54">
        <v>4</v>
      </c>
      <c r="D54">
        <f t="shared" si="1"/>
        <v>9.3278231733090931E-7</v>
      </c>
    </row>
    <row r="55" spans="1:4" x14ac:dyDescent="0.3">
      <c r="C55">
        <v>5</v>
      </c>
      <c r="D55">
        <f t="shared" si="1"/>
        <v>1.3058952442632731E-8</v>
      </c>
    </row>
    <row r="56" spans="1:4" x14ac:dyDescent="0.3">
      <c r="C56">
        <v>6</v>
      </c>
      <c r="D56">
        <f t="shared" si="1"/>
        <v>1.5235444516404855E-10</v>
      </c>
    </row>
    <row r="57" spans="1:4" x14ac:dyDescent="0.3">
      <c r="C57">
        <v>7</v>
      </c>
      <c r="D57">
        <f t="shared" si="1"/>
        <v>1.5235444516404855E-12</v>
      </c>
    </row>
    <row r="58" spans="1:4" x14ac:dyDescent="0.3">
      <c r="C58">
        <v>8</v>
      </c>
      <c r="D58">
        <f t="shared" si="1"/>
        <v>1.333101395185425E-14</v>
      </c>
    </row>
    <row r="59" spans="1:4" x14ac:dyDescent="0.3">
      <c r="C59">
        <v>9</v>
      </c>
      <c r="D59">
        <f t="shared" si="1"/>
        <v>1.0368566406997751E-16</v>
      </c>
    </row>
    <row r="60" spans="1:4" x14ac:dyDescent="0.3">
      <c r="C60">
        <v>10</v>
      </c>
      <c r="D60">
        <f t="shared" si="1"/>
        <v>7.2579964848984253E-19</v>
      </c>
    </row>
    <row r="61" spans="1:4" x14ac:dyDescent="0.3">
      <c r="C61">
        <v>11</v>
      </c>
      <c r="D61">
        <f t="shared" si="1"/>
        <v>4.618725035844453E-21</v>
      </c>
    </row>
    <row r="62" spans="1:4" x14ac:dyDescent="0.3">
      <c r="C62">
        <v>12</v>
      </c>
      <c r="D62">
        <f t="shared" si="1"/>
        <v>2.6942562709092641E-23</v>
      </c>
    </row>
    <row r="63" spans="1:4" x14ac:dyDescent="0.3">
      <c r="C63">
        <v>13</v>
      </c>
      <c r="D63">
        <f t="shared" si="1"/>
        <v>1.4507533766434502E-25</v>
      </c>
    </row>
    <row r="64" spans="1:4" x14ac:dyDescent="0.3">
      <c r="C64">
        <v>14</v>
      </c>
      <c r="D64">
        <f t="shared" si="1"/>
        <v>7.2537668832172513E-28</v>
      </c>
    </row>
    <row r="65" spans="3:4" x14ac:dyDescent="0.3">
      <c r="C65">
        <v>15</v>
      </c>
      <c r="D65">
        <f t="shared" si="1"/>
        <v>3.3850912121680505E-30</v>
      </c>
    </row>
    <row r="66" spans="3:4" x14ac:dyDescent="0.3">
      <c r="C66">
        <v>16</v>
      </c>
      <c r="D66">
        <f t="shared" si="1"/>
        <v>1.4809774053235222E-32</v>
      </c>
    </row>
    <row r="67" spans="3:4" x14ac:dyDescent="0.3">
      <c r="C67">
        <v>17</v>
      </c>
      <c r="D67">
        <f t="shared" si="1"/>
        <v>6.0981422572145039E-35</v>
      </c>
    </row>
    <row r="68" spans="3:4" x14ac:dyDescent="0.3">
      <c r="C68">
        <v>18</v>
      </c>
      <c r="D68">
        <f t="shared" si="1"/>
        <v>2.3714997666945296E-37</v>
      </c>
    </row>
    <row r="69" spans="3:4" x14ac:dyDescent="0.3">
      <c r="C69">
        <v>19</v>
      </c>
      <c r="D69">
        <f t="shared" si="1"/>
        <v>8.7371044036114266E-40</v>
      </c>
    </row>
    <row r="70" spans="3:4" x14ac:dyDescent="0.3">
      <c r="C70">
        <v>20</v>
      </c>
      <c r="D70">
        <f t="shared" si="1"/>
        <v>3.0579865412639994E-42</v>
      </c>
    </row>
    <row r="71" spans="3:4" x14ac:dyDescent="0.3">
      <c r="C71">
        <v>21</v>
      </c>
      <c r="D71">
        <f t="shared" si="1"/>
        <v>1.0193288470879998E-44</v>
      </c>
    </row>
    <row r="72" spans="3:4" x14ac:dyDescent="0.3">
      <c r="C72">
        <v>22</v>
      </c>
      <c r="D72">
        <f t="shared" si="1"/>
        <v>3.2433190589163632E-47</v>
      </c>
    </row>
    <row r="73" spans="3:4" x14ac:dyDescent="0.3">
      <c r="C73">
        <v>23</v>
      </c>
      <c r="D73">
        <f t="shared" si="1"/>
        <v>9.8709710488758863E-50</v>
      </c>
    </row>
    <row r="74" spans="3:4" x14ac:dyDescent="0.3">
      <c r="C74">
        <v>24</v>
      </c>
      <c r="D74">
        <f t="shared" si="1"/>
        <v>2.8790332225888009E-52</v>
      </c>
    </row>
    <row r="75" spans="3:4" x14ac:dyDescent="0.3">
      <c r="C75">
        <v>25</v>
      </c>
      <c r="D75">
        <f t="shared" si="1"/>
        <v>8.0612930232486443E-55</v>
      </c>
    </row>
    <row r="76" spans="3:4" x14ac:dyDescent="0.3">
      <c r="C76">
        <v>26</v>
      </c>
      <c r="D76">
        <f t="shared" si="1"/>
        <v>2.1703481216438652E-57</v>
      </c>
    </row>
    <row r="77" spans="3:4" x14ac:dyDescent="0.3">
      <c r="C77">
        <v>27</v>
      </c>
      <c r="D77">
        <f t="shared" si="1"/>
        <v>5.6268284635211348E-60</v>
      </c>
    </row>
    <row r="78" spans="3:4" x14ac:dyDescent="0.3">
      <c r="C78">
        <v>28</v>
      </c>
      <c r="D78">
        <f t="shared" si="1"/>
        <v>1.4067071158802837E-62</v>
      </c>
    </row>
    <row r="79" spans="3:4" x14ac:dyDescent="0.3">
      <c r="C79">
        <v>29</v>
      </c>
      <c r="D79">
        <f t="shared" si="1"/>
        <v>3.3954999348834437E-65</v>
      </c>
    </row>
    <row r="80" spans="3:4" x14ac:dyDescent="0.3">
      <c r="C80">
        <v>30</v>
      </c>
      <c r="D80">
        <f t="shared" si="1"/>
        <v>7.9228331813947011E-68</v>
      </c>
    </row>
    <row r="81" spans="3:4" x14ac:dyDescent="0.3">
      <c r="C81">
        <v>31</v>
      </c>
      <c r="D81">
        <f t="shared" si="1"/>
        <v>1.7890268474117064E-70</v>
      </c>
    </row>
    <row r="82" spans="3:4" x14ac:dyDescent="0.3">
      <c r="C82">
        <v>32</v>
      </c>
      <c r="D82">
        <f t="shared" si="1"/>
        <v>3.9134962287131093E-73</v>
      </c>
    </row>
    <row r="83" spans="3:4" x14ac:dyDescent="0.3">
      <c r="C83">
        <v>33</v>
      </c>
      <c r="D83">
        <f t="shared" si="1"/>
        <v>8.3013556366641703E-76</v>
      </c>
    </row>
    <row r="84" spans="3:4" x14ac:dyDescent="0.3">
      <c r="C84">
        <v>34</v>
      </c>
      <c r="D84">
        <f t="shared" si="1"/>
        <v>1.7091026310779182E-78</v>
      </c>
    </row>
    <row r="85" spans="3:4" x14ac:dyDescent="0.3">
      <c r="C85">
        <v>35</v>
      </c>
      <c r="D85">
        <f t="shared" si="1"/>
        <v>3.4182052621558362E-81</v>
      </c>
    </row>
    <row r="86" spans="3:4" x14ac:dyDescent="0.3">
      <c r="C86">
        <v>36</v>
      </c>
      <c r="D86">
        <f t="shared" si="1"/>
        <v>6.6465102319696794E-84</v>
      </c>
    </row>
    <row r="87" spans="3:4" x14ac:dyDescent="0.3">
      <c r="C87">
        <v>37</v>
      </c>
      <c r="D87">
        <f t="shared" si="1"/>
        <v>1.2574478817239937E-86</v>
      </c>
    </row>
    <row r="88" spans="3:4" x14ac:dyDescent="0.3">
      <c r="C88">
        <v>38</v>
      </c>
      <c r="D88">
        <f t="shared" si="1"/>
        <v>2.3163513610705155E-89</v>
      </c>
    </row>
    <row r="89" spans="3:4" x14ac:dyDescent="0.3">
      <c r="C89">
        <v>39</v>
      </c>
      <c r="D89">
        <f t="shared" si="1"/>
        <v>4.1575537249983598E-92</v>
      </c>
    </row>
    <row r="90" spans="3:4" x14ac:dyDescent="0.3">
      <c r="C90">
        <v>40</v>
      </c>
      <c r="D90">
        <f t="shared" si="1"/>
        <v>7.2757190187471301E-95</v>
      </c>
    </row>
    <row r="91" spans="3:4" x14ac:dyDescent="0.3">
      <c r="C91">
        <v>41</v>
      </c>
      <c r="D91">
        <f t="shared" si="1"/>
        <v>1.2421959300299985E-97</v>
      </c>
    </row>
    <row r="92" spans="3:4" x14ac:dyDescent="0.3">
      <c r="C92">
        <v>42</v>
      </c>
      <c r="D92">
        <f t="shared" si="1"/>
        <v>2.0703265500499968E-100</v>
      </c>
    </row>
    <row r="93" spans="3:4" x14ac:dyDescent="0.3">
      <c r="C93">
        <v>43</v>
      </c>
      <c r="D93">
        <f t="shared" si="1"/>
        <v>3.3702990349651115E-103</v>
      </c>
    </row>
    <row r="94" spans="3:4" x14ac:dyDescent="0.3">
      <c r="C94">
        <v>44</v>
      </c>
      <c r="D94">
        <f t="shared" si="1"/>
        <v>5.361839373808131E-106</v>
      </c>
    </row>
    <row r="95" spans="3:4" x14ac:dyDescent="0.3">
      <c r="C95">
        <v>45</v>
      </c>
      <c r="D95">
        <f t="shared" si="1"/>
        <v>8.3406390259237614E-109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2B299-3BEE-4D63-9928-3C42FB2DE9DE}">
  <dimension ref="A1:C45"/>
  <sheetViews>
    <sheetView workbookViewId="0">
      <selection activeCell="C4" sqref="C4"/>
    </sheetView>
  </sheetViews>
  <sheetFormatPr defaultRowHeight="14.4" x14ac:dyDescent="0.3"/>
  <sheetData>
    <row r="1" spans="1:3" x14ac:dyDescent="0.3">
      <c r="A1" t="s">
        <v>8</v>
      </c>
      <c r="B1" t="s">
        <v>1</v>
      </c>
      <c r="C1" t="s">
        <v>10</v>
      </c>
    </row>
    <row r="2" spans="1:3" x14ac:dyDescent="0.3">
      <c r="A2">
        <v>5</v>
      </c>
      <c r="B2">
        <v>0</v>
      </c>
      <c r="C2">
        <f>1-EXP(-$A$2*B2)</f>
        <v>0</v>
      </c>
    </row>
    <row r="3" spans="1:3" x14ac:dyDescent="0.3">
      <c r="B3">
        <v>0.05</v>
      </c>
      <c r="C3">
        <f t="shared" ref="C3:C22" si="0">1-EXP(-$A$2*B3)</f>
        <v>0.22119921692859512</v>
      </c>
    </row>
    <row r="4" spans="1:3" x14ac:dyDescent="0.3">
      <c r="B4">
        <v>0.1</v>
      </c>
      <c r="C4">
        <f t="shared" si="0"/>
        <v>0.39346934028736658</v>
      </c>
    </row>
    <row r="5" spans="1:3" x14ac:dyDescent="0.3">
      <c r="B5">
        <v>0.15</v>
      </c>
      <c r="C5">
        <f t="shared" si="0"/>
        <v>0.52763344725898531</v>
      </c>
    </row>
    <row r="6" spans="1:3" x14ac:dyDescent="0.3">
      <c r="B6">
        <v>0.2</v>
      </c>
      <c r="C6">
        <f t="shared" si="0"/>
        <v>0.63212055882855767</v>
      </c>
    </row>
    <row r="7" spans="1:3" x14ac:dyDescent="0.3">
      <c r="B7">
        <v>0.25</v>
      </c>
      <c r="C7">
        <f t="shared" si="0"/>
        <v>0.71349520313980985</v>
      </c>
    </row>
    <row r="8" spans="1:3" x14ac:dyDescent="0.3">
      <c r="B8">
        <v>0.3</v>
      </c>
      <c r="C8">
        <f t="shared" si="0"/>
        <v>0.77686983985157021</v>
      </c>
    </row>
    <row r="9" spans="1:3" x14ac:dyDescent="0.3">
      <c r="B9">
        <v>0.35</v>
      </c>
      <c r="C9">
        <f t="shared" si="0"/>
        <v>0.82622605654955483</v>
      </c>
    </row>
    <row r="10" spans="1:3" x14ac:dyDescent="0.3">
      <c r="B10">
        <v>0.4</v>
      </c>
      <c r="C10">
        <f t="shared" si="0"/>
        <v>0.8646647167633873</v>
      </c>
    </row>
    <row r="11" spans="1:3" x14ac:dyDescent="0.3">
      <c r="B11">
        <v>0.45</v>
      </c>
      <c r="C11">
        <f t="shared" si="0"/>
        <v>0.89460077543813565</v>
      </c>
    </row>
    <row r="12" spans="1:3" x14ac:dyDescent="0.3">
      <c r="B12">
        <v>0.5</v>
      </c>
      <c r="C12">
        <f t="shared" si="0"/>
        <v>0.91791500137610116</v>
      </c>
    </row>
    <row r="13" spans="1:3" x14ac:dyDescent="0.3">
      <c r="B13">
        <v>0.55000000000000004</v>
      </c>
      <c r="C13">
        <f t="shared" si="0"/>
        <v>0.93607213879329243</v>
      </c>
    </row>
    <row r="14" spans="1:3" x14ac:dyDescent="0.3">
      <c r="B14">
        <v>0.6</v>
      </c>
      <c r="C14">
        <f t="shared" si="0"/>
        <v>0.95021293163213605</v>
      </c>
    </row>
    <row r="15" spans="1:3" x14ac:dyDescent="0.3">
      <c r="B15">
        <v>0.65</v>
      </c>
      <c r="C15">
        <f t="shared" si="0"/>
        <v>0.96122579216827797</v>
      </c>
    </row>
    <row r="16" spans="1:3" x14ac:dyDescent="0.3">
      <c r="B16">
        <v>0.7</v>
      </c>
      <c r="C16">
        <f t="shared" si="0"/>
        <v>0.96980261657768152</v>
      </c>
    </row>
    <row r="17" spans="1:3" x14ac:dyDescent="0.3">
      <c r="B17">
        <v>0.75</v>
      </c>
      <c r="C17">
        <f t="shared" si="0"/>
        <v>0.97648225414399092</v>
      </c>
    </row>
    <row r="18" spans="1:3" x14ac:dyDescent="0.3">
      <c r="B18">
        <v>0.8</v>
      </c>
      <c r="C18">
        <f t="shared" si="0"/>
        <v>0.98168436111126578</v>
      </c>
    </row>
    <row r="19" spans="1:3" x14ac:dyDescent="0.3">
      <c r="B19">
        <v>0.85</v>
      </c>
      <c r="C19">
        <f t="shared" si="0"/>
        <v>0.98573576609100078</v>
      </c>
    </row>
    <row r="20" spans="1:3" x14ac:dyDescent="0.3">
      <c r="B20">
        <v>0.9</v>
      </c>
      <c r="C20">
        <f t="shared" si="0"/>
        <v>0.98889100346175773</v>
      </c>
    </row>
    <row r="21" spans="1:3" x14ac:dyDescent="0.3">
      <c r="B21">
        <v>0.95</v>
      </c>
      <c r="C21">
        <f t="shared" si="0"/>
        <v>0.99134830479687941</v>
      </c>
    </row>
    <row r="22" spans="1:3" x14ac:dyDescent="0.3">
      <c r="B22">
        <v>1</v>
      </c>
      <c r="C22">
        <f t="shared" si="0"/>
        <v>0.99326205300091452</v>
      </c>
    </row>
    <row r="24" spans="1:3" x14ac:dyDescent="0.3">
      <c r="A24" t="s">
        <v>9</v>
      </c>
      <c r="B24" t="s">
        <v>1</v>
      </c>
      <c r="C24" t="s">
        <v>10</v>
      </c>
    </row>
    <row r="25" spans="1:3" x14ac:dyDescent="0.3">
      <c r="A25">
        <v>7</v>
      </c>
      <c r="B25">
        <v>0</v>
      </c>
      <c r="C25">
        <f>1-EXP(-$A$25*B25)</f>
        <v>0</v>
      </c>
    </row>
    <row r="26" spans="1:3" x14ac:dyDescent="0.3">
      <c r="B26">
        <v>0.05</v>
      </c>
      <c r="C26">
        <f t="shared" ref="C26:C45" si="1">1-EXP(-$A$25*B26)</f>
        <v>0.29531191028128656</v>
      </c>
    </row>
    <row r="27" spans="1:3" x14ac:dyDescent="0.3">
      <c r="B27">
        <v>0.1</v>
      </c>
      <c r="C27">
        <f t="shared" si="1"/>
        <v>0.50341469620859058</v>
      </c>
    </row>
    <row r="28" spans="1:3" x14ac:dyDescent="0.3">
      <c r="B28">
        <v>0.15</v>
      </c>
      <c r="C28">
        <f t="shared" si="1"/>
        <v>0.65006225088884473</v>
      </c>
    </row>
    <row r="29" spans="1:3" x14ac:dyDescent="0.3">
      <c r="B29">
        <v>0.2</v>
      </c>
      <c r="C29">
        <f t="shared" si="1"/>
        <v>0.75340303605839354</v>
      </c>
    </row>
    <row r="30" spans="1:3" x14ac:dyDescent="0.3">
      <c r="B30">
        <v>0.25</v>
      </c>
      <c r="C30">
        <f t="shared" si="1"/>
        <v>0.82622605654955483</v>
      </c>
    </row>
    <row r="31" spans="1:3" x14ac:dyDescent="0.3">
      <c r="B31">
        <v>0.3</v>
      </c>
      <c r="C31">
        <f t="shared" si="1"/>
        <v>0.87754357174701814</v>
      </c>
    </row>
    <row r="32" spans="1:3" x14ac:dyDescent="0.3">
      <c r="B32">
        <v>0.35</v>
      </c>
      <c r="C32">
        <f t="shared" si="1"/>
        <v>0.91370641350062942</v>
      </c>
    </row>
    <row r="33" spans="2:3" x14ac:dyDescent="0.3">
      <c r="B33">
        <v>0.4</v>
      </c>
      <c r="C33">
        <f t="shared" si="1"/>
        <v>0.93918993737478207</v>
      </c>
    </row>
    <row r="34" spans="2:3" x14ac:dyDescent="0.3">
      <c r="B34">
        <v>0.45</v>
      </c>
      <c r="C34">
        <f t="shared" si="1"/>
        <v>0.95714787313295979</v>
      </c>
    </row>
    <row r="35" spans="2:3" x14ac:dyDescent="0.3">
      <c r="B35">
        <v>0.5</v>
      </c>
      <c r="C35">
        <f t="shared" si="1"/>
        <v>0.96980261657768152</v>
      </c>
    </row>
    <row r="36" spans="2:3" x14ac:dyDescent="0.3">
      <c r="B36">
        <v>0.55000000000000004</v>
      </c>
      <c r="C36">
        <f t="shared" si="1"/>
        <v>0.97872026356162289</v>
      </c>
    </row>
    <row r="37" spans="2:3" x14ac:dyDescent="0.3">
      <c r="B37">
        <v>0.6</v>
      </c>
      <c r="C37">
        <f t="shared" si="1"/>
        <v>0.9850044231795223</v>
      </c>
    </row>
    <row r="38" spans="2:3" x14ac:dyDescent="0.3">
      <c r="B38">
        <v>0.65</v>
      </c>
      <c r="C38">
        <f t="shared" si="1"/>
        <v>0.98943279561614739</v>
      </c>
    </row>
    <row r="39" spans="2:3" x14ac:dyDescent="0.3">
      <c r="B39">
        <v>0.7</v>
      </c>
      <c r="C39">
        <f t="shared" si="1"/>
        <v>0.99255341692907562</v>
      </c>
    </row>
    <row r="40" spans="2:3" x14ac:dyDescent="0.3">
      <c r="B40">
        <v>0.75</v>
      </c>
      <c r="C40">
        <f t="shared" si="1"/>
        <v>0.99475248160081864</v>
      </c>
    </row>
    <row r="41" spans="2:3" x14ac:dyDescent="0.3">
      <c r="B41">
        <v>0.8</v>
      </c>
      <c r="C41">
        <f t="shared" si="1"/>
        <v>0.99630213628351705</v>
      </c>
    </row>
    <row r="42" spans="2:3" x14ac:dyDescent="0.3">
      <c r="B42">
        <v>0.85</v>
      </c>
      <c r="C42">
        <f t="shared" si="1"/>
        <v>0.99739415948159149</v>
      </c>
    </row>
    <row r="43" spans="2:3" x14ac:dyDescent="0.3">
      <c r="B43">
        <v>0.9</v>
      </c>
      <c r="C43">
        <f t="shared" si="1"/>
        <v>0.9981636952229711</v>
      </c>
    </row>
    <row r="44" spans="2:3" x14ac:dyDescent="0.3">
      <c r="B44">
        <v>0.95</v>
      </c>
      <c r="C44">
        <f t="shared" si="1"/>
        <v>0.99870597789453419</v>
      </c>
    </row>
    <row r="45" spans="2:3" x14ac:dyDescent="0.3">
      <c r="B45">
        <v>1</v>
      </c>
      <c r="C45">
        <f t="shared" si="1"/>
        <v>0.99908811803444553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A8F-715E-485D-8DCE-944F327FC4F7}">
  <dimension ref="A1:F2"/>
  <sheetViews>
    <sheetView tabSelected="1" workbookViewId="0">
      <selection activeCell="F2" sqref="F2"/>
    </sheetView>
  </sheetViews>
  <sheetFormatPr defaultRowHeight="14.4" x14ac:dyDescent="0.3"/>
  <cols>
    <col min="6" max="6" width="12" bestFit="1" customWidth="1"/>
  </cols>
  <sheetData>
    <row r="1" spans="1:6" x14ac:dyDescent="0.3">
      <c r="A1" t="s">
        <v>3</v>
      </c>
      <c r="B1" t="s">
        <v>4</v>
      </c>
      <c r="C1" t="s">
        <v>5</v>
      </c>
      <c r="D1" t="s">
        <v>1</v>
      </c>
      <c r="E1" t="s">
        <v>0</v>
      </c>
      <c r="F1" t="s">
        <v>2</v>
      </c>
    </row>
    <row r="2" spans="1:6" x14ac:dyDescent="0.3">
      <c r="A2">
        <f>20+B2+C2</f>
        <v>32</v>
      </c>
      <c r="B2">
        <v>5</v>
      </c>
      <c r="C2">
        <v>7</v>
      </c>
      <c r="D2">
        <f>(B2/100)*60</f>
        <v>3</v>
      </c>
      <c r="E2">
        <f>C2</f>
        <v>7</v>
      </c>
      <c r="F2">
        <f>((E2*D2)^A2)/(FACT(A2))*EXP(-(E2*D2))</f>
        <v>5.8974132939230593E-3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Artemer</dc:creator>
  <cp:lastModifiedBy>Dmitry</cp:lastModifiedBy>
  <dcterms:created xsi:type="dcterms:W3CDTF">2024-10-02T15:00:27Z</dcterms:created>
  <dcterms:modified xsi:type="dcterms:W3CDTF">2025-11-15T06:19:43Z</dcterms:modified>
</cp:coreProperties>
</file>