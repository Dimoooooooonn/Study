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s\Programs\Study\AiSD\lab4\"/>
    </mc:Choice>
  </mc:AlternateContent>
  <xr:revisionPtr revIDLastSave="0" documentId="13_ncr:1_{F08E2A24-C826-4E8A-AC23-338176024B28}" xr6:coauthVersionLast="47" xr6:coauthVersionMax="47" xr10:uidLastSave="{00000000-0000-0000-0000-000000000000}"/>
  <bookViews>
    <workbookView xWindow="-108" yWindow="-108" windowWidth="23256" windowHeight="14160" xr2:uid="{03BFB3D7-7529-495F-AC52-7574DE19632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J7" i="1" s="1"/>
  <c r="J4" i="1"/>
  <c r="J5" i="1"/>
  <c r="J6" i="1"/>
  <c r="J3" i="1"/>
  <c r="I8" i="1" l="1"/>
  <c r="J8" i="1" s="1"/>
</calcChain>
</file>

<file path=xl/sharedStrings.xml><?xml version="1.0" encoding="utf-8"?>
<sst xmlns="http://schemas.openxmlformats.org/spreadsheetml/2006/main" count="5" uniqueCount="4">
  <si>
    <t>Количество вершин графа</t>
  </si>
  <si>
    <t>Алгоритм Флойда-Уоршелла</t>
  </si>
  <si>
    <t>Алгоритм прямого перебора</t>
  </si>
  <si>
    <t>Алгоритм Дейкстры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</si>
</sst>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164" fontId="0" fillId="0" borderId="9" xfId="0" applyNumberFormat="1" applyBorder="1"/>
    <xf numFmtId="164" fontId="0" fillId="0" borderId="7" xfId="0" applyNumberFormat="1" applyBorder="1"/>
    <xf numFmtId="164" fontId="0" fillId="0" borderId="8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Алгоритм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Алгоритм Флойда-Уоршелла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Лист1!$C$3:$C$7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cat>
          <c:val>
            <c:numRef>
              <c:f>Лист1!$D$3:$D$7</c:f>
              <c:numCache>
                <c:formatCode>General</c:formatCode>
                <c:ptCount val="5"/>
                <c:pt idx="0">
                  <c:v>1.502E-6</c:v>
                </c:pt>
                <c:pt idx="1">
                  <c:v>2.2753999999999999E-5</c:v>
                </c:pt>
                <c:pt idx="2">
                  <c:v>8.6928999999999994E-5</c:v>
                </c:pt>
                <c:pt idx="3">
                  <c:v>2.3305400000000001E-4</c:v>
                </c:pt>
                <c:pt idx="4">
                  <c:v>5.0206000000000003E-4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5B-497D-834B-757C7612A2A6}"/>
            </c:ext>
          </c:extLst>
        </c:ser>
        <c:ser>
          <c:idx val="1"/>
          <c:order val="1"/>
          <c:tx>
            <c:v>Алгоритм Дейкстры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Лист1!$E$3:$E$7</c:f>
              <c:numCache>
                <c:formatCode>General</c:formatCode>
                <c:ptCount val="5"/>
                <c:pt idx="0">
                  <c:v>5.5629999999999999E-6</c:v>
                </c:pt>
                <c:pt idx="1">
                  <c:v>1.1076E-5</c:v>
                </c:pt>
                <c:pt idx="2">
                  <c:v>1.7425999999999999E-5</c:v>
                </c:pt>
                <c:pt idx="3">
                  <c:v>2.5641999999999999E-5</c:v>
                </c:pt>
                <c:pt idx="4">
                  <c:v>3.5401000000000002E-5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5B-497D-834B-757C7612A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729536"/>
        <c:axId val="174740272"/>
      </c:lineChart>
      <c:catAx>
        <c:axId val="448729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вершин графа, шт.</a:t>
                </a:r>
              </a:p>
            </c:rich>
          </c:tx>
          <c:layout>
            <c:manualLayout>
              <c:xMode val="edge"/>
              <c:yMode val="edge"/>
              <c:x val="0.48107524059492562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740272"/>
        <c:crosses val="autoZero"/>
        <c:auto val="1"/>
        <c:lblAlgn val="ctr"/>
        <c:lblOffset val="100"/>
        <c:noMultiLvlLbl val="0"/>
      </c:catAx>
      <c:valAx>
        <c:axId val="17474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 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872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Лист1!$D$2</c:f>
              <c:strCache>
                <c:ptCount val="1"/>
                <c:pt idx="0">
                  <c:v>Алгоритм Флойда-Уоршелла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Лист1!$C$3:$C$8</c15:sqref>
                  </c15:fullRef>
                </c:ext>
              </c:extLst>
              <c:f>Лист1!$C$6:$C$8</c:f>
              <c:numCache>
                <c:formatCode>General</c:formatCode>
                <c:ptCount val="3"/>
                <c:pt idx="0">
                  <c:v>20</c:v>
                </c:pt>
                <c:pt idx="1">
                  <c:v>25</c:v>
                </c:pt>
                <c:pt idx="2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Лист1!$D$3:$D$8</c15:sqref>
                  </c15:fullRef>
                </c:ext>
              </c:extLst>
              <c:f>Лист1!$D$6:$D$8</c:f>
              <c:numCache>
                <c:formatCode>General</c:formatCode>
                <c:ptCount val="3"/>
                <c:pt idx="0">
                  <c:v>2.3305400000000001E-4</c:v>
                </c:pt>
                <c:pt idx="1">
                  <c:v>5.0206000000000003E-4</c:v>
                </c:pt>
                <c:pt idx="2">
                  <c:v>8.6497699999999996E-4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BE-42F5-BCB8-8B62B33F82D7}"/>
            </c:ext>
          </c:extLst>
        </c:ser>
        <c:ser>
          <c:idx val="1"/>
          <c:order val="1"/>
          <c:tx>
            <c:strRef>
              <c:f>Лист1!$E$2</c:f>
              <c:strCache>
                <c:ptCount val="1"/>
                <c:pt idx="0">
                  <c:v>Алгоритм Дейкстры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Лист1!$C$3:$C$8</c15:sqref>
                  </c15:fullRef>
                </c:ext>
              </c:extLst>
              <c:f>Лист1!$C$6:$C$8</c:f>
              <c:numCache>
                <c:formatCode>General</c:formatCode>
                <c:ptCount val="3"/>
                <c:pt idx="0">
                  <c:v>20</c:v>
                </c:pt>
                <c:pt idx="1">
                  <c:v>25</c:v>
                </c:pt>
                <c:pt idx="2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Лист1!$E$3:$E$8</c15:sqref>
                  </c15:fullRef>
                </c:ext>
              </c:extLst>
              <c:f>Лист1!$E$6:$E$8</c:f>
              <c:numCache>
                <c:formatCode>General</c:formatCode>
                <c:ptCount val="3"/>
                <c:pt idx="0">
                  <c:v>2.5641999999999999E-5</c:v>
                </c:pt>
                <c:pt idx="1">
                  <c:v>3.5401000000000002E-5</c:v>
                </c:pt>
                <c:pt idx="2">
                  <c:v>4.8247000000000001E-5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77-4495-AE47-76DEE4AFC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244384"/>
        <c:axId val="68023766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Лист1!$I$2</c15:sqref>
                        </c15:formulaRef>
                      </c:ext>
                    </c:extLst>
                    <c:strCache>
                      <c:ptCount val="1"/>
                      <c:pt idx="0">
                        <c:v>Алгоритм прямого перебора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Лист1!$C$3:$C$8</c15:sqref>
                        </c15:fullRef>
                        <c15:formulaRef>
                          <c15:sqref>Лист1!$C$6:$C$8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</c:v>
                      </c:pt>
                      <c:pt idx="1">
                        <c:v>25</c:v>
                      </c:pt>
                      <c:pt idx="2">
                        <c:v>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Лист1!$I$3:$I$8</c15:sqref>
                        </c15:fullRef>
                        <c15:formulaRef>
                          <c15:sqref>Лист1!$I$6:$I$8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7.7700700000000002E-4</c:v>
                      </c:pt>
                      <c:pt idx="1">
                        <c:v>7.7700700000000004E-3</c:v>
                      </c:pt>
                      <c:pt idx="2">
                        <c:v>3.8850350000000006E-2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A77-4495-AE47-76DEE4AFC10C}"/>
                  </c:ext>
                </c:extLst>
              </c15:ser>
            </c15:filteredLineSeries>
          </c:ext>
        </c:extLst>
      </c:lineChart>
      <c:catAx>
        <c:axId val="68024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Количество вершин графа, шт.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0237664"/>
        <c:crosses val="autoZero"/>
        <c:auto val="1"/>
        <c:lblAlgn val="ctr"/>
        <c:lblOffset val="100"/>
        <c:noMultiLvlLbl val="0"/>
      </c:catAx>
      <c:valAx>
        <c:axId val="68023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Время, 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0244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258614809539231"/>
          <c:y val="8.9776525470633473E-2"/>
          <c:w val="0.28011213209253555"/>
          <c:h val="0.2564779367538105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Лист1!$E$2</c:f>
              <c:strCache>
                <c:ptCount val="1"/>
                <c:pt idx="0">
                  <c:v>Алгоритм Дейкстры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3095504663660509E-2"/>
                  <c:y val="-7.80151529908665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numRef>
              <c:f>Лист1!$C$3:$C$8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Лист1!$E$3:$E$8</c:f>
              <c:numCache>
                <c:formatCode>General</c:formatCode>
                <c:ptCount val="6"/>
                <c:pt idx="0">
                  <c:v>5.5629999999999999E-6</c:v>
                </c:pt>
                <c:pt idx="1">
                  <c:v>1.1076E-5</c:v>
                </c:pt>
                <c:pt idx="2">
                  <c:v>1.7425999999999999E-5</c:v>
                </c:pt>
                <c:pt idx="3">
                  <c:v>2.5641999999999999E-5</c:v>
                </c:pt>
                <c:pt idx="4">
                  <c:v>3.5401000000000002E-5</c:v>
                </c:pt>
                <c:pt idx="5">
                  <c:v>4.8247000000000001E-5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92-4EAC-B413-641E87557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198304"/>
        <c:axId val="680227104"/>
      </c:lineChart>
      <c:catAx>
        <c:axId val="68019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Количество вершин графа, шт.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0227104"/>
        <c:crosses val="autoZero"/>
        <c:auto val="1"/>
        <c:lblAlgn val="ctr"/>
        <c:lblOffset val="100"/>
        <c:noMultiLvlLbl val="0"/>
      </c:catAx>
      <c:valAx>
        <c:axId val="68022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Время, 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0198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9860843010686269"/>
          <c:y val="5.9823082128836733E-2"/>
          <c:w val="0.28680218821421954"/>
          <c:h val="0.2533246214988236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v>Алгоритм прямого перебора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Лист1!$H$3:$H$8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Лист1!$J$3:$J$8</c:f>
              <c:numCache>
                <c:formatCode>General</c:formatCode>
                <c:ptCount val="6"/>
                <c:pt idx="0">
                  <c:v>1.9338E-5</c:v>
                </c:pt>
                <c:pt idx="1">
                  <c:v>8.9087999999999998E-5</c:v>
                </c:pt>
                <c:pt idx="2">
                  <c:v>8.9841599999999997E-4</c:v>
                </c:pt>
                <c:pt idx="3">
                  <c:v>4.6620419999999999E-3</c:v>
                </c:pt>
                <c:pt idx="4">
                  <c:v>4.6620420000000003E-2</c:v>
                </c:pt>
                <c:pt idx="5">
                  <c:v>0.23310210000000003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53-4876-95CA-7D4F92339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8753759"/>
        <c:axId val="1358748479"/>
      </c:lineChart>
      <c:catAx>
        <c:axId val="1358753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вершин графа, шт.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8748479"/>
        <c:crosses val="autoZero"/>
        <c:auto val="1"/>
        <c:lblAlgn val="ctr"/>
        <c:lblOffset val="100"/>
        <c:noMultiLvlLbl val="0"/>
      </c:catAx>
      <c:valAx>
        <c:axId val="135874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 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875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8055555555555555"/>
          <c:y val="0.18799722951297757"/>
          <c:w val="0.38055555555555554"/>
          <c:h val="0.1521996208807232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Лист1!$E$2</c:f>
              <c:strCache>
                <c:ptCount val="1"/>
                <c:pt idx="0">
                  <c:v>Алгоритм Дейкстры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Лист1!$C$3:$C$8</c15:sqref>
                  </c15:fullRef>
                </c:ext>
              </c:extLst>
              <c:f>Лист1!$C$5:$C$8</c:f>
              <c:numCache>
                <c:formatCode>General</c:formatCode>
                <c:ptCount val="4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Лист1!$E$3:$E$8</c15:sqref>
                  </c15:fullRef>
                </c:ext>
              </c:extLst>
              <c:f>Лист1!$E$5:$E$8</c:f>
              <c:numCache>
                <c:formatCode>General</c:formatCode>
                <c:ptCount val="4"/>
                <c:pt idx="0">
                  <c:v>1.7425999999999999E-5</c:v>
                </c:pt>
                <c:pt idx="1">
                  <c:v>2.5641999999999999E-5</c:v>
                </c:pt>
                <c:pt idx="2">
                  <c:v>3.5401000000000002E-5</c:v>
                </c:pt>
                <c:pt idx="3">
                  <c:v>4.8247000000000001E-5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44-4F37-80C8-B068FFC47985}"/>
            </c:ext>
          </c:extLst>
        </c:ser>
        <c:ser>
          <c:idx val="5"/>
          <c:order val="2"/>
          <c:tx>
            <c:strRef>
              <c:f>Лист1!$I$2</c:f>
              <c:strCache>
                <c:ptCount val="1"/>
                <c:pt idx="0">
                  <c:v>Алгоритм прямого перебора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Лист1!$C$3:$C$8</c15:sqref>
                  </c15:fullRef>
                </c:ext>
              </c:extLst>
              <c:f>Лист1!$C$5:$C$8</c:f>
              <c:numCache>
                <c:formatCode>General</c:formatCode>
                <c:ptCount val="4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Лист1!$I$3:$I$8</c15:sqref>
                  </c15:fullRef>
                </c:ext>
              </c:extLst>
              <c:f>Лист1!$I$5:$I$8</c:f>
              <c:numCache>
                <c:formatCode>0.00000</c:formatCode>
                <c:ptCount val="4"/>
                <c:pt idx="0">
                  <c:v>1.49736E-4</c:v>
                </c:pt>
                <c:pt idx="1">
                  <c:v>7.7700700000000002E-4</c:v>
                </c:pt>
                <c:pt idx="2">
                  <c:v>7.7700700000000004E-3</c:v>
                </c:pt>
                <c:pt idx="3">
                  <c:v>3.8850350000000006E-2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944-4F37-80C8-B068FFC47985}"/>
            </c:ext>
          </c:extLst>
        </c:ser>
        <c:ser>
          <c:idx val="1"/>
          <c:order val="3"/>
          <c:tx>
            <c:strRef>
              <c:f>Лист1!$D$2</c:f>
              <c:strCache>
                <c:ptCount val="1"/>
                <c:pt idx="0">
                  <c:v>Алгоритм Флойда-Уоршелла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Лист1!$C$3:$C$8</c15:sqref>
                  </c15:fullRef>
                </c:ext>
              </c:extLst>
              <c:f>Лист1!$C$5:$C$8</c:f>
              <c:numCache>
                <c:formatCode>General</c:formatCode>
                <c:ptCount val="4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Лист1!$D$3:$D$8</c15:sqref>
                  </c15:fullRef>
                </c:ext>
              </c:extLst>
              <c:f>Лист1!$D$5:$D$8</c:f>
              <c:numCache>
                <c:formatCode>General</c:formatCode>
                <c:ptCount val="4"/>
                <c:pt idx="0">
                  <c:v>8.6928999999999994E-5</c:v>
                </c:pt>
                <c:pt idx="1">
                  <c:v>2.3305400000000001E-4</c:v>
                </c:pt>
                <c:pt idx="2">
                  <c:v>5.0206000000000003E-4</c:v>
                </c:pt>
                <c:pt idx="3">
                  <c:v>8.6497699999999996E-4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944-4F37-80C8-B068FFC47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3792592"/>
        <c:axId val="11937934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Лист1!$C$2</c15:sqref>
                        </c15:formulaRef>
                      </c:ext>
                    </c:extLst>
                    <c:strCache>
                      <c:ptCount val="1"/>
                      <c:pt idx="0">
                        <c:v>Количество вершин графа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Лист1!$C$3:$C$8</c15:sqref>
                        </c15:fullRef>
                        <c15:formulaRef>
                          <c15:sqref>Лист1!$C$5:$C$8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15</c:v>
                      </c:pt>
                      <c:pt idx="1">
                        <c:v>20</c:v>
                      </c:pt>
                      <c:pt idx="2">
                        <c:v>25</c:v>
                      </c:pt>
                      <c:pt idx="3">
                        <c:v>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Лист1!$C$3:$C$8</c15:sqref>
                        </c15:fullRef>
                        <c15:formulaRef>
                          <c15:sqref>Лист1!$C$5:$C$8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15</c:v>
                      </c:pt>
                      <c:pt idx="1">
                        <c:v>20</c:v>
                      </c:pt>
                      <c:pt idx="2">
                        <c:v>25</c:v>
                      </c:pt>
                      <c:pt idx="3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944-4F37-80C8-B068FFC47985}"/>
                  </c:ext>
                </c:extLst>
              </c15:ser>
            </c15:filteredLineSeries>
          </c:ext>
        </c:extLst>
      </c:lineChart>
      <c:catAx>
        <c:axId val="119379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3793424"/>
        <c:crosses val="autoZero"/>
        <c:auto val="1"/>
        <c:lblAlgn val="ctr"/>
        <c:lblOffset val="100"/>
        <c:noMultiLvlLbl val="0"/>
      </c:catAx>
      <c:valAx>
        <c:axId val="119379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3792592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11948861505948123"/>
          <c:y val="0.87330314626702199"/>
          <c:w val="0.76087683641817494"/>
          <c:h val="7.09195544173576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166781</xdr:colOff>
      <xdr:row>0</xdr:row>
      <xdr:rowOff>70598</xdr:rowOff>
    </xdr:from>
    <xdr:to>
      <xdr:col>18</xdr:col>
      <xdr:colOff>473822</xdr:colOff>
      <xdr:row>13</xdr:row>
      <xdr:rowOff>56777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1413E5E-A0FD-6164-C51B-EE55ABFAE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403351</xdr:colOff>
      <xdr:row>17</xdr:row>
      <xdr:rowOff>31252</xdr:rowOff>
    </xdr:from>
    <xdr:to>
      <xdr:col>7</xdr:col>
      <xdr:colOff>565462</xdr:colOff>
      <xdr:row>32</xdr:row>
      <xdr:rowOff>12202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D5F2A0E-6589-46AC-8EF4-CB53A0714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243602</xdr:colOff>
      <xdr:row>22</xdr:row>
      <xdr:rowOff>119157</xdr:rowOff>
    </xdr:from>
    <xdr:to>
      <xdr:col>16</xdr:col>
      <xdr:colOff>111499</xdr:colOff>
      <xdr:row>37</xdr:row>
      <xdr:rowOff>100108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23913E4-714C-B8C7-A802-2ABFEA059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381000</xdr:colOff>
      <xdr:row>2</xdr:row>
      <xdr:rowOff>137459</xdr:rowOff>
    </xdr:from>
    <xdr:to>
      <xdr:col>29</xdr:col>
      <xdr:colOff>52294</xdr:colOff>
      <xdr:row>17</xdr:row>
      <xdr:rowOff>71717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542634A-93E3-0CC5-61DE-5BD456280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76200</xdr:colOff>
      <xdr:row>15</xdr:row>
      <xdr:rowOff>152400</xdr:rowOff>
    </xdr:from>
    <xdr:to>
      <xdr:col>21</xdr:col>
      <xdr:colOff>502920</xdr:colOff>
      <xdr:row>32</xdr:row>
      <xdr:rowOff>38100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3B543D6F-5F63-458A-903C-806B81E12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0.56169</cdr:x>
      <cdr:y>0.8626</cdr:y>
    </cdr:from>
    <cdr:to>
      <cdr:x>0.94968</cdr:x>
      <cdr:y>0.92621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0065C-9FE4-44CE-A769-3A8E74DC6392}"/>
            </a:ext>
          </a:extLst>
        </cdr:cNvPr>
        <cdr:cNvSpPr txBox="1"/>
      </cdr:nvSpPr>
      <cdr:spPr>
        <a:xfrm xmlns:a="http://schemas.openxmlformats.org/drawingml/2006/main">
          <a:off x="2636520" y="2583180"/>
          <a:ext cx="182118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0.21104</cdr:x>
      <cdr:y>0.91349</cdr:y>
    </cdr:from>
    <cdr:to>
      <cdr:x>0.6461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FD0DFC7-3868-4747-A0C9-A8E689002308}"/>
            </a:ext>
          </a:extLst>
        </cdr:cNvPr>
        <cdr:cNvSpPr txBox="1"/>
      </cdr:nvSpPr>
      <cdr:spPr>
        <a:xfrm xmlns:a="http://schemas.openxmlformats.org/drawingml/2006/main">
          <a:off x="990600" y="2735580"/>
          <a:ext cx="2042160" cy="259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u-RU" sz="900">
              <a:solidFill>
                <a:schemeClr val="tx1">
                  <a:lumMod val="65000"/>
                  <a:lumOff val="35000"/>
                </a:schemeClr>
              </a:solidFill>
            </a:rPr>
            <a:t>Алгоритм Флойда-Уоршелла</a:t>
          </a:r>
        </a:p>
      </cdr:txBody>
    </cdr:sp>
  </cdr:relSizeAnchor>
  <cdr:relSizeAnchor xmlns:cdr="http://schemas.openxmlformats.org/drawingml/2006/chartDrawing">
    <cdr:from>
      <cdr:x>0.16756</cdr:x>
      <cdr:y>0.94981</cdr:y>
    </cdr:from>
    <cdr:to>
      <cdr:x>0.22603</cdr:x>
      <cdr:y>0.96557</cdr:y>
    </cdr:to>
    <cdr:pic>
      <cdr:nvPicPr>
        <cdr:cNvPr id="4" name="chart">
          <a:extLst xmlns:a="http://schemas.openxmlformats.org/drawingml/2006/main">
            <a:ext uri="{FF2B5EF4-FFF2-40B4-BE49-F238E27FC236}">
              <a16:creationId xmlns:a16="http://schemas.microsoft.com/office/drawing/2014/main" id="{9B84293D-8A8B-4A79-9D1A-046010E7688B}"/>
            </a:ext>
          </a:extLst>
        </cdr:cNvPr>
        <cdr:cNvPicPr>
          <a:picLocks xmlns:a="http://schemas.openxmlformats.org/drawingml/2006/main" noChangeAspect="1"/>
        </cdr:cNvPicPr>
      </cdr:nvPicPr>
      <cdr: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22976" t="39813" b="-1"/>
        <a:stretch xmlns:a="http://schemas.openxmlformats.org/drawingml/2006/main"/>
      </cdr:blipFill>
      <cdr:spPr>
        <a:xfrm xmlns:a="http://schemas.openxmlformats.org/drawingml/2006/main">
          <a:off x="785831" y="2836759"/>
          <a:ext cx="274228" cy="47073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FFF1-CAE4-403A-A7AB-1232774C2019}">
  <dimension ref="C1:J8"/>
  <sheetViews>
    <sheetView tabSelected="1" topLeftCell="C1" zoomScale="95" zoomScaleNormal="100" workbookViewId="0">
      <selection activeCell="G39" sqref="G39"/>
    </sheetView>
  </sheetViews>
  <sheetFormatPr defaultRowHeight="14.4" x14ac:dyDescent="0.3"/>
  <cols>
    <col min="3" max="3" width="14.21875" customWidth="1"/>
    <col min="4" max="4" width="13" customWidth="1"/>
    <col min="5" max="5" width="13.21875" customWidth="1"/>
    <col min="6" max="6" width="16.21875" customWidth="1"/>
    <col min="7" max="7" width="11.109375" customWidth="1"/>
    <col min="8" max="8" width="11.77734375" customWidth="1"/>
    <col min="9" max="9" width="14.21875" customWidth="1"/>
  </cols>
  <sheetData>
    <row r="1" spans="3:10" ht="15" thickBot="1" x14ac:dyDescent="0.35"/>
    <row r="2" spans="3:10" ht="43.8" thickBot="1" x14ac:dyDescent="0.35">
      <c r="C2" s="7" t="s">
        <v>0</v>
      </c>
      <c r="D2" s="5" t="s">
        <v>1</v>
      </c>
      <c r="E2" s="6" t="s">
        <v>3</v>
      </c>
      <c r="F2" s="1"/>
      <c r="H2" s="7" t="s">
        <v>0</v>
      </c>
      <c r="I2" s="6" t="s">
        <v>2</v>
      </c>
    </row>
    <row r="3" spans="3:10" x14ac:dyDescent="0.3">
      <c r="C3" s="8">
        <v>5</v>
      </c>
      <c r="D3">
        <v>1.502E-6</v>
      </c>
      <c r="E3" s="2">
        <v>5.5629999999999999E-6</v>
      </c>
      <c r="H3" s="10">
        <v>5</v>
      </c>
      <c r="I3" s="12">
        <v>3.2229999999999999E-6</v>
      </c>
      <c r="J3">
        <f>I3*6</f>
        <v>1.9338E-5</v>
      </c>
    </row>
    <row r="4" spans="3:10" x14ac:dyDescent="0.3">
      <c r="C4" s="8">
        <v>10</v>
      </c>
      <c r="D4">
        <v>2.2753999999999999E-5</v>
      </c>
      <c r="E4" s="2">
        <v>1.1076E-5</v>
      </c>
      <c r="H4" s="10">
        <v>10</v>
      </c>
      <c r="I4" s="13">
        <v>1.4848000000000001E-5</v>
      </c>
      <c r="J4">
        <f t="shared" ref="J4:J8" si="0">I4*6</f>
        <v>8.9087999999999998E-5</v>
      </c>
    </row>
    <row r="5" spans="3:10" x14ac:dyDescent="0.3">
      <c r="C5" s="8">
        <v>15</v>
      </c>
      <c r="D5">
        <v>8.6928999999999994E-5</v>
      </c>
      <c r="E5" s="2">
        <v>1.7425999999999999E-5</v>
      </c>
      <c r="H5" s="10">
        <v>15</v>
      </c>
      <c r="I5" s="13">
        <v>1.49736E-4</v>
      </c>
      <c r="J5">
        <f t="shared" si="0"/>
        <v>8.9841599999999997E-4</v>
      </c>
    </row>
    <row r="6" spans="3:10" x14ac:dyDescent="0.3">
      <c r="C6" s="8">
        <v>20</v>
      </c>
      <c r="D6">
        <v>2.3305400000000001E-4</v>
      </c>
      <c r="E6" s="2">
        <v>2.5641999999999999E-5</v>
      </c>
      <c r="H6" s="10">
        <v>20</v>
      </c>
      <c r="I6" s="13">
        <v>7.7700700000000002E-4</v>
      </c>
      <c r="J6">
        <f t="shared" si="0"/>
        <v>4.6620419999999999E-3</v>
      </c>
    </row>
    <row r="7" spans="3:10" x14ac:dyDescent="0.3">
      <c r="C7" s="8">
        <v>25</v>
      </c>
      <c r="D7">
        <v>5.0206000000000003E-4</v>
      </c>
      <c r="E7" s="2">
        <v>3.5401000000000002E-5</v>
      </c>
      <c r="H7" s="10">
        <v>25</v>
      </c>
      <c r="I7" s="13">
        <f>I6*10</f>
        <v>7.7700700000000004E-3</v>
      </c>
      <c r="J7">
        <f t="shared" si="0"/>
        <v>4.6620420000000003E-2</v>
      </c>
    </row>
    <row r="8" spans="3:10" ht="15" thickBot="1" x14ac:dyDescent="0.35">
      <c r="C8" s="9">
        <v>30</v>
      </c>
      <c r="D8" s="3">
        <v>8.6497699999999996E-4</v>
      </c>
      <c r="E8" s="4">
        <v>4.8247000000000001E-5</v>
      </c>
      <c r="H8" s="11">
        <v>30</v>
      </c>
      <c r="I8" s="14">
        <f>I7*5</f>
        <v>3.8850350000000006E-2</v>
      </c>
      <c r="J8">
        <f t="shared" si="0"/>
        <v>0.23310210000000003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I.</dc:creator>
  <cp:lastModifiedBy>Dmitry</cp:lastModifiedBy>
  <dcterms:created xsi:type="dcterms:W3CDTF">2025-03-31T07:58:58Z</dcterms:created>
  <dcterms:modified xsi:type="dcterms:W3CDTF">2025-11-03T09:04:35Z</dcterms:modified>
</cp:coreProperties>
</file>