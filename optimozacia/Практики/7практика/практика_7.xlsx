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итерии" sheetId="1" r:id="rId4"/>
    <sheet state="visible" name="выборка критериев" sheetId="2" r:id="rId5"/>
    <sheet state="visible" name="веса критериев" sheetId="3" r:id="rId6"/>
    <sheet state="visible" name="альтернативы (м. ранжирования)" sheetId="4" r:id="rId7"/>
    <sheet state="visible" name="альтернативы (м. баллов)" sheetId="5" r:id="rId8"/>
  </sheets>
  <definedNames/>
  <calcPr/>
</workbook>
</file>

<file path=xl/sharedStrings.xml><?xml version="1.0" encoding="utf-8"?>
<sst xmlns="http://schemas.openxmlformats.org/spreadsheetml/2006/main" count="345" uniqueCount="88">
  <si>
    <t>Критерии выбора ноутбука учащемуся</t>
  </si>
  <si>
    <t>тип матрицы</t>
  </si>
  <si>
    <t>разрешение экрана(fhd, qhd, 4k)</t>
  </si>
  <si>
    <t>герцовка экрана</t>
  </si>
  <si>
    <t>количество ядер процессора</t>
  </si>
  <si>
    <t>тактовая частота процесссора</t>
  </si>
  <si>
    <t>цвет ноутбука</t>
  </si>
  <si>
    <t>цена</t>
  </si>
  <si>
    <t>оперативная память (ОЗУ)</t>
  </si>
  <si>
    <t>размер экрана</t>
  </si>
  <si>
    <t>емкость батареи</t>
  </si>
  <si>
    <t>количество портов</t>
  </si>
  <si>
    <t>вес</t>
  </si>
  <si>
    <t>компания производитель</t>
  </si>
  <si>
    <t>материал корпуса</t>
  </si>
  <si>
    <t>постоянная память (ПЗУ)</t>
  </si>
  <si>
    <t>вид охлаждения</t>
  </si>
  <si>
    <t>мощность блока питания</t>
  </si>
  <si>
    <t xml:space="preserve">объем памяти видеокарты </t>
  </si>
  <si>
    <t>метод ранжирования</t>
  </si>
  <si>
    <t xml:space="preserve">Эксперты </t>
  </si>
  <si>
    <t>Критерии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</si>
  <si>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</si>
  <si>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</si>
  <si>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</si>
  <si>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</si>
  <si>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</si>
  <si>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</si>
  <si>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</si>
  <si>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</si>
  <si>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</si>
  <si>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</si>
  <si>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</si>
  <si>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</si>
  <si>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</si>
  <si>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</si>
  <si>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</si>
  <si>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</si>
  <si>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К17</t>
  </si>
  <si>
    <t>К18</t>
  </si>
  <si>
    <t>Василий</t>
  </si>
  <si>
    <t>Максим</t>
  </si>
  <si>
    <t>Егор</t>
  </si>
  <si>
    <t>Антон</t>
  </si>
  <si>
    <t>Павел</t>
  </si>
  <si>
    <t>Владислав</t>
  </si>
  <si>
    <t>Николай</t>
  </si>
  <si>
    <t>Артем</t>
  </si>
  <si>
    <t>сумма оценок</t>
  </si>
  <si>
    <t>веса критериев</t>
  </si>
  <si>
    <t>метод приписывания баллов</t>
  </si>
  <si>
    <t>сумма</t>
  </si>
  <si>
    <t>определение весов критериев</t>
  </si>
  <si>
    <t>минимизируем</t>
  </si>
  <si>
    <t>Эксперты</t>
  </si>
  <si>
    <t>Альтернативы</t>
  </si>
  <si>
    <t>разрешение экрана</t>
  </si>
  <si>
    <t>ядра процессора</t>
  </si>
  <si>
    <t>частота процессора, ГГц</t>
  </si>
  <si>
    <t>цена, руб</t>
  </si>
  <si>
    <t>ОЗУ, Гб</t>
  </si>
  <si>
    <t>диагональ экрана, дюймы</t>
  </si>
  <si>
    <t xml:space="preserve">емкость батареи, Вт*ч
</t>
  </si>
  <si>
    <t>ПЗУ, Гб</t>
  </si>
  <si>
    <t>объем памяти видеокарты, Гб</t>
  </si>
  <si>
    <t>HONOR MagicBook x16 pro</t>
  </si>
  <si>
    <t>IPS</t>
  </si>
  <si>
    <t>https://market.yandex.ru/cc/6nqBzU</t>
  </si>
  <si>
    <t xml:space="preserve">HONOR MagicBook 14 </t>
  </si>
  <si>
    <t>https://www.dns-shop.ru/product/dcf779ff220aed20/14-noutbuk-honor-magicbook-14-nmh-wfp9hn-seryj/</t>
  </si>
  <si>
    <t>Ноутбук ASUS ZenBook 14</t>
  </si>
  <si>
    <t>https://www.dns-shop.ru/product/2c0c086fd9a6ed20/14-noutbuk-asus-zenbook-14-um3402ya-kp647-cernyj/?ysclid=mal60elcce681298890</t>
  </si>
  <si>
    <t>Infinix InBook Y3 MAX</t>
  </si>
  <si>
    <t>https://www.dns-shop.ru/product/53ea76625f75d0a4/16-noutbuk-infinix-inbook-y3-max-seryj/</t>
  </si>
  <si>
    <t>ASUS TUF Gaming F15 FX507</t>
  </si>
  <si>
    <t>https://market.yandex.ru/product--igrovoi-noutbuk-asus-tuf-gaming-f15-fx507zc4-hn252-15-6-1920x1080-ips-intel-core-i5-12500h-16gb-ddr4-512gb-ssd-rtx-3050-4gb-bez-os-grey-90nrogw1-m00mj0/919962843?sku=103700812503&amp;uniqueId=109692401&amp;do-waremd5=faJpz6vs3K6elcELDL2mfQ&amp;cpc=vyW1ffL4FQ52YqYg8z0j3ldDY8kYjBn5yj5JCgihEB7JwlM3O06l3--3CNZl-zAYmLcDjyVTuRuj4Lyb_ssAL8kO2ShJprJAk9gCtCX5ORI69d1aJHVWSjXiAYAbGdS6RgBRYiY5vBddcJAjxWpMnT-cdSzag7kfqc9jjAps2hQ8aBurozG-qAM-IScsSrInDnHqOgDL31MKwiwlnIrn1x3Qnkkxy-NrrdE8n2rm_ZqG8UVZ1FHtlMUwNjudXohOjD5i3T7V-YV5qg1bsM87gm56zVVSu__l</t>
  </si>
  <si>
    <t>Huawei MateBook D14</t>
  </si>
  <si>
    <t>https://market.yandex.ru/product--huawei-14-noutbuk-huawei-matebook-d14-mdf-x-gray-core-i5-12450h-16gb-512gb-ssd-vga-int-dos-53013xet/74871420?sku=102820255915&amp;uniqueId=62878861&amp;do-waremd5=pLoEjzJkn_ITRbF4LwGzuA&amp;utm_term=91013%7C102820255915&amp;clid=1601&amp;utm_source=yandex&amp;utm_medium=search&amp;utm_campaign=ymp_offer_dp_komputer_msku_super_price_bko_dyb_search_rus&amp;utm_content=cid%3A115463487%7Cgid%3A5507963106%7Caid%3A1858628910305499451%7Cph%3A53524016197%7Cpt%3Apremium%7Cpn%3A1%7Csrc%3Anone%7Cst%3Asearch%7Crid%3A53524016197%7Ccgcid%3A0&amp;yclid=10834831335092387839&amp;ysclid=mal5w7uf6112011027</t>
  </si>
  <si>
    <t>MSI Modern 15</t>
  </si>
  <si>
    <t>https://www.dns-shop.ru/product/247d3cd89668d9cb/156-noutbuk-msi-modern-15-f13mg-064xru-seryj/</t>
  </si>
  <si>
    <t>Acer Aspire 5</t>
  </si>
  <si>
    <t>https://www.citilink.ru/product/noutbuk-acer-aspire-5-a515-57-i7-12650h-16gb-ssd1tb-15-6-ips-fhd-noos-2048235/?referrer=reattribution%3D1&amp;utm_medium=cpc&amp;utm_campaign=cities-srch-cat-perfomans-epk_all_noutbuki&amp;utm_source=yandex&amp;utm_content=|c:120132727|g:5578870216|b:1874748655933516434|k:205578870216|st:search|a:no|s:none|t:premium|p:1|r:205578870216|dev:desktop|cgci:0|adsformat:{adformat}&amp;yclid=7620062049922187263</t>
  </si>
  <si>
    <t>максимум</t>
  </si>
  <si>
    <t>минимум</t>
  </si>
  <si>
    <t>Нормализация критериев</t>
  </si>
  <si>
    <t>Веса критериев из метода ранжирования</t>
  </si>
  <si>
    <t>мин</t>
  </si>
  <si>
    <t>Веса критериев из метода баллов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</si>
</sst>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/>
    <font>
      <b/>
      <color theme="1"/>
      <name val="Arial"/>
    </font>
    <font>
      <color theme="1"/>
      <name val="Arial"/>
    </font>
    <font>
      <u/>
      <color rgb="FF0000FF"/>
    </font>
    <font>
      <sz val="10.0"/>
      <color rgb="FF333333"/>
      <name val="Arial"/>
    </font>
    <font>
      <sz val="9.0"/>
      <color rgb="FF494949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8" fillId="0" fontId="2" numFmtId="0" xfId="0" applyBorder="1" applyFont="1"/>
    <xf borderId="9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horizontal="left" vertical="center"/>
    </xf>
    <xf borderId="0" fillId="0" fontId="4" numFmtId="0" xfId="0" applyFont="1"/>
    <xf borderId="7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0" fillId="0" fontId="2" numFmtId="0" xfId="0" applyBorder="1" applyFont="1"/>
    <xf borderId="5" fillId="0" fontId="4" numFmtId="0" xfId="0" applyBorder="1" applyFont="1"/>
    <xf borderId="5" fillId="2" fontId="4" numFmtId="0" xfId="0" applyBorder="1" applyFill="1" applyFont="1"/>
    <xf borderId="6" fillId="0" fontId="4" numFmtId="0" xfId="0" applyBorder="1" applyFont="1"/>
    <xf borderId="7" fillId="0" fontId="4" numFmtId="0" xfId="0" applyAlignment="1" applyBorder="1" applyFont="1">
      <alignment horizontal="center"/>
    </xf>
    <xf borderId="0" fillId="2" fontId="4" numFmtId="0" xfId="0" applyFont="1"/>
    <xf borderId="8" fillId="0" fontId="4" numFmtId="0" xfId="0" applyBorder="1" applyFont="1"/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4" fillId="0" fontId="4" numFmtId="0" xfId="0" applyBorder="1" applyFont="1"/>
    <xf borderId="12" fillId="0" fontId="4" numFmtId="0" xfId="0" applyBorder="1" applyFont="1"/>
    <xf borderId="12" fillId="2" fontId="4" numFmtId="0" xfId="0" applyBorder="1" applyFont="1"/>
    <xf borderId="13" fillId="0" fontId="4" numFmtId="0" xfId="0" applyBorder="1" applyFont="1"/>
    <xf borderId="10" fillId="0" fontId="4" numFmtId="0" xfId="0" applyBorder="1" applyFont="1"/>
    <xf borderId="0" fillId="0" fontId="3" numFmtId="0" xfId="0" applyFont="1"/>
    <xf borderId="7" fillId="0" fontId="4" numFmtId="0" xfId="0" applyBorder="1" applyFont="1"/>
    <xf borderId="9" fillId="0" fontId="4" numFmtId="0" xfId="0" applyBorder="1" applyFont="1"/>
    <xf borderId="2" fillId="0" fontId="4" numFmtId="0" xfId="0" applyBorder="1" applyFont="1"/>
    <xf borderId="2" fillId="2" fontId="4" numFmtId="0" xfId="0" applyBorder="1" applyFont="1"/>
    <xf borderId="3" fillId="0" fontId="4" numFmtId="0" xfId="0" applyBorder="1" applyFont="1"/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1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shrinkToFit="0" vertical="center" wrapText="1"/>
    </xf>
    <xf borderId="15" fillId="0" fontId="4" numFmtId="0" xfId="0" applyBorder="1" applyFont="1"/>
    <xf borderId="0" fillId="0" fontId="5" numFmtId="0" xfId="0" applyFont="1"/>
    <xf borderId="0" fillId="3" fontId="6" numFmtId="0" xfId="0" applyFill="1" applyFont="1"/>
    <xf borderId="0" fillId="4" fontId="4" numFmtId="0" xfId="0" applyFill="1" applyFont="1"/>
    <xf borderId="9" fillId="4" fontId="4" numFmtId="0" xfId="0" applyBorder="1" applyFont="1"/>
    <xf borderId="15" fillId="4" fontId="4" numFmtId="0" xfId="0" applyBorder="1" applyFont="1"/>
    <xf borderId="8" fillId="4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8" fillId="0" fontId="1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0" fillId="0" fontId="7" numFmtId="0" xfId="0" applyFont="1"/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right" shrinkToFit="0" vertical="bottom" wrapText="0"/>
    </xf>
    <xf borderId="3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right" shrinkToFit="0" vertical="bottom" wrapText="0"/>
    </xf>
    <xf borderId="5" fillId="0" fontId="8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'выборка критериев'!$B$3:$S$3</c:f>
            </c:strRef>
          </c:cat>
          <c:val>
            <c:numRef>
              <c:f>'выборка критериев'!$B$13:$S$13</c:f>
              <c:numCache/>
            </c:numRef>
          </c:val>
        </c:ser>
        <c:axId val="741852773"/>
        <c:axId val="1990315522"/>
      </c:barChart>
      <c:catAx>
        <c:axId val="741852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0315522"/>
      </c:catAx>
      <c:valAx>
        <c:axId val="1990315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18527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'выборка критериев'!$B$29:$S$29</c:f>
            </c:strRef>
          </c:cat>
          <c:val>
            <c:numRef>
              <c:f>'выборка критериев'!$B$39:$S$39</c:f>
              <c:numCache/>
            </c:numRef>
          </c:val>
        </c:ser>
        <c:axId val="1718673854"/>
        <c:axId val="1532296236"/>
      </c:barChart>
      <c:catAx>
        <c:axId val="1718673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2296236"/>
      </c:catAx>
      <c:valAx>
        <c:axId val="1532296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867385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333375</xdr:colOff>
      <xdr:row>0</xdr:row>
      <xdr:rowOff>0</xdr:rowOff>
    </xdr:from>
    <xdr:ext cx="5191125" cy="31718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619125</xdr:colOff>
      <xdr:row>23</xdr:row>
      <xdr:rowOff>104775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447675</xdr:colOff>
      <xdr:row>0</xdr:row>
      <xdr:rowOff>47625</xdr:rowOff>
    </xdr:from>
    <xdr:ext cx="5486400" cy="876300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190500</xdr:colOff>
      <xdr:row>15</xdr:row>
      <xdr:rowOff>200025</xdr:rowOff>
    </xdr:from>
    <xdr:ext cx="5543550" cy="609600"/>
    <xdr:pic>
      <xdr:nvPicPr>
        <xdr:cNvPr id="0" name="image2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rket.yandex.ru/cc/6nqBzU" TargetMode="External"/><Relationship Id="rId2" Type="http://schemas.openxmlformats.org/officeDocument/2006/relationships/hyperlink" Target="https://www.dns-shop.ru/product/dcf779ff220aed20/14-noutbuk-honor-magicbook-14-nmh-wfp9hn-seryj/" TargetMode="External"/><Relationship Id="rId3" Type="http://schemas.openxmlformats.org/officeDocument/2006/relationships/hyperlink" Target="https://www.dns-shop.ru/product/2c0c086fd9a6ed20/14-noutbuk-asus-zenbook-14-um3402ya-kp647-cernyj/?ysclid=mal60elcce681298890" TargetMode="External"/><Relationship Id="rId4" Type="http://schemas.openxmlformats.org/officeDocument/2006/relationships/hyperlink" Target="https://www.dns-shop.ru/product/53ea76625f75d0a4/16-noutbuk-infinix-inbook-y3-max-seryj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market.yandex.ru/product--igrovoi-noutbuk-asus-tuf-gaming-f15-fx507zc4-hn252-15-6-1920x1080-ips-intel-core-i5-12500h-16gb-ddr4-512gb-ssd-rtx-3050-4gb-bez-os-grey-90nrogw1-m00mj0/919962843?sku=103700812503&amp;uniqueId=109692401&amp;do-waremd5=faJpz6vs3K6elcELDL2mfQ&amp;cpc=vyW1ffL4FQ52YqYg8z0j3ldDY8kYjBn5yj5JCgihEB7JwlM3O06l3--3CNZl-zAYmLcDjyVTuRuj4Lyb_ssAL8kO2ShJprJAk9gCtCX5ORI69d1aJHVWSjXiAYAbGdS6RgBRYiY5vBddcJAjxWpMnT-cdSzag7kfqc9jjAps2hQ8aBurozG-qAM-IScsSrInDnHqOgDL31MKwiwlnIrn1x3Qnkkxy-NrrdE8n2rm_ZqG8UVZ1FHtlMUwNjudXohOjD5i3T7V-YV5qg1bsM87gm56zVVSu__l" TargetMode="External"/><Relationship Id="rId6" Type="http://schemas.openxmlformats.org/officeDocument/2006/relationships/hyperlink" Target="https://market.yandex.ru/product--huawei-14-noutbuk-huawei-matebook-d14-mdf-x-gray-core-i5-12450h-16gb-512gb-ssd-vga-int-dos-53013xet/74871420?sku=102820255915&amp;uniqueId=62878861&amp;do-waremd5=pLoEjzJkn_ITRbF4LwGzuA&amp;utm_term=91013%7C102820255915&amp;clid=1601&amp;utm_source=yandex&amp;utm_medium=search&amp;utm_campaign=ymp_offer_dp_komputer_msku_super_price_bko_dyb_search_rus&amp;utm_content=cid%3A115463487%7Cgid%3A5507963106%7Caid%3A1858628910305499451%7Cph%3A53524016197%7Cpt%3Apremium%7Cpn%3A1%7Csrc%3Anone%7Cst%3Asearch%7Crid%3A53524016197%7Ccgcid%3A0&amp;yclid=10834831335092387839&amp;ysclid=mal5w7uf6112011027" TargetMode="External"/><Relationship Id="rId7" Type="http://schemas.openxmlformats.org/officeDocument/2006/relationships/hyperlink" Target="https://www.dns-shop.ru/product/247d3cd89668d9cb/156-noutbuk-msi-modern-15-f13mg-064xru-seryj/" TargetMode="External"/><Relationship Id="rId8" Type="http://schemas.openxmlformats.org/officeDocument/2006/relationships/hyperlink" Target="https://www.citilink.ru/product/noutbuk-acer-aspire-5-a515-57-i7-12650h-16gb-ssd1tb-15-6-ips-fhd-noos-2048235/?referrer=reattribution%3D1&amp;utm_medium=cpc&amp;utm_campaign=cities-srch-cat-perfomans-epk_all_noutbuki&amp;utm_source=yandex&amp;utm_content=%7Cc:120132727%7Cg:5578870216%7Cb:1874748655933516434%7Ck:205578870216%7Cst:search%7Ca:no%7Cs:none%7Ct:premium%7Cp:1%7Cr:205578870216%7Cdev:desktop%7Ccgci:0%7Cadsformat:%7Badformat%7D&amp;yclid=7620062049922187263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/>
      <c r="B2" s="5"/>
      <c r="C2" s="5"/>
      <c r="D2" s="5"/>
      <c r="E2" s="6"/>
    </row>
    <row r="3" ht="15.75" customHeight="1">
      <c r="A3" s="7">
        <v>1.0</v>
      </c>
      <c r="B3" s="8" t="s">
        <v>1</v>
      </c>
      <c r="E3" s="9"/>
    </row>
    <row r="4" ht="15.75" customHeight="1">
      <c r="A4" s="10">
        <v>2.0</v>
      </c>
      <c r="B4" s="11" t="s">
        <v>2</v>
      </c>
      <c r="E4" s="9"/>
    </row>
    <row r="5" ht="15.75" customHeight="1">
      <c r="A5" s="10">
        <v>3.0</v>
      </c>
      <c r="B5" s="11" t="s">
        <v>3</v>
      </c>
      <c r="E5" s="9"/>
    </row>
    <row r="6" ht="15.75" customHeight="1">
      <c r="A6" s="10">
        <v>4.0</v>
      </c>
      <c r="B6" s="11" t="s">
        <v>4</v>
      </c>
      <c r="E6" s="9"/>
    </row>
    <row r="7" ht="15.75" customHeight="1">
      <c r="A7" s="10">
        <v>5.0</v>
      </c>
      <c r="B7" s="11" t="s">
        <v>5</v>
      </c>
      <c r="E7" s="9"/>
    </row>
    <row r="8" ht="15.75" customHeight="1">
      <c r="A8" s="10">
        <v>6.0</v>
      </c>
      <c r="B8" s="11" t="s">
        <v>6</v>
      </c>
      <c r="E8" s="9"/>
    </row>
    <row r="9" ht="15.75" customHeight="1">
      <c r="A9" s="10">
        <v>7.0</v>
      </c>
      <c r="B9" s="11" t="s">
        <v>7</v>
      </c>
      <c r="E9" s="9"/>
    </row>
    <row r="10" ht="15.75" customHeight="1">
      <c r="A10" s="10">
        <v>8.0</v>
      </c>
      <c r="B10" s="11" t="s">
        <v>8</v>
      </c>
      <c r="E10" s="9"/>
    </row>
    <row r="11" ht="15.75" customHeight="1">
      <c r="A11" s="10">
        <v>9.0</v>
      </c>
      <c r="B11" s="11" t="s">
        <v>9</v>
      </c>
      <c r="E11" s="9"/>
    </row>
    <row r="12" ht="15.75" customHeight="1">
      <c r="A12" s="10">
        <v>10.0</v>
      </c>
      <c r="B12" s="11" t="s">
        <v>10</v>
      </c>
      <c r="E12" s="9"/>
    </row>
    <row r="13" ht="15.75" customHeight="1">
      <c r="A13" s="10">
        <v>11.0</v>
      </c>
      <c r="B13" s="11" t="s">
        <v>11</v>
      </c>
      <c r="E13" s="9"/>
    </row>
    <row r="14" ht="15.75" customHeight="1">
      <c r="A14" s="10">
        <v>12.0</v>
      </c>
      <c r="B14" s="11" t="s">
        <v>12</v>
      </c>
      <c r="E14" s="9"/>
    </row>
    <row r="15" ht="15.75" customHeight="1">
      <c r="A15" s="10">
        <v>13.0</v>
      </c>
      <c r="B15" s="11" t="s">
        <v>13</v>
      </c>
      <c r="E15" s="9"/>
    </row>
    <row r="16" ht="15.75" customHeight="1">
      <c r="A16" s="10">
        <v>14.0</v>
      </c>
      <c r="B16" s="11" t="s">
        <v>14</v>
      </c>
      <c r="E16" s="9"/>
    </row>
    <row r="17" ht="15.75" customHeight="1">
      <c r="A17" s="10">
        <v>15.0</v>
      </c>
      <c r="B17" s="11" t="s">
        <v>15</v>
      </c>
      <c r="E17" s="9"/>
    </row>
    <row r="18" ht="15.75" customHeight="1">
      <c r="A18" s="10">
        <v>16.0</v>
      </c>
      <c r="B18" s="11" t="s">
        <v>16</v>
      </c>
      <c r="E18" s="9"/>
    </row>
    <row r="19" ht="15.75" customHeight="1">
      <c r="A19" s="10">
        <v>17.0</v>
      </c>
      <c r="B19" s="11" t="s">
        <v>17</v>
      </c>
      <c r="E19" s="9"/>
    </row>
    <row r="20" ht="15.75" customHeight="1">
      <c r="A20" s="12">
        <v>18.0</v>
      </c>
      <c r="B20" s="13" t="s">
        <v>18</v>
      </c>
      <c r="C20" s="5"/>
      <c r="D20" s="5"/>
      <c r="E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E2"/>
    <mergeCell ref="B3:E3"/>
    <mergeCell ref="B4:E4"/>
    <mergeCell ref="B5:E5"/>
    <mergeCell ref="B6:E6"/>
    <mergeCell ref="B7:E7"/>
    <mergeCell ref="B8:E8"/>
    <mergeCell ref="B16:E16"/>
    <mergeCell ref="B17:E17"/>
    <mergeCell ref="B18:E18"/>
    <mergeCell ref="B19:E19"/>
    <mergeCell ref="B20:E20"/>
    <mergeCell ref="B9:E9"/>
    <mergeCell ref="B10:E10"/>
    <mergeCell ref="B11:E11"/>
    <mergeCell ref="B12:E12"/>
    <mergeCell ref="B13:E13"/>
    <mergeCell ref="B14:E14"/>
    <mergeCell ref="B15:E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9" width="5.5"/>
    <col customWidth="1" min="20" max="20" width="8.13"/>
    <col customWidth="1" min="32" max="32" width="14.5"/>
  </cols>
  <sheetData>
    <row r="1" ht="15.75" customHeight="1">
      <c r="A1" s="14" t="s">
        <v>19</v>
      </c>
      <c r="B1" s="15"/>
    </row>
    <row r="2" ht="15.75" customHeight="1">
      <c r="A2" s="16" t="s">
        <v>20</v>
      </c>
      <c r="B2" s="17" t="s">
        <v>21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</row>
    <row r="3" ht="15.75" customHeight="1">
      <c r="A3" s="20"/>
      <c r="B3" s="21" t="s">
        <v>22</v>
      </c>
      <c r="C3" s="21" t="s">
        <v>23</v>
      </c>
      <c r="D3" s="22" t="s">
        <v>24</v>
      </c>
      <c r="E3" s="21" t="s">
        <v>25</v>
      </c>
      <c r="F3" s="21" t="s">
        <v>26</v>
      </c>
      <c r="G3" s="22" t="s">
        <v>27</v>
      </c>
      <c r="H3" s="21" t="s">
        <v>28</v>
      </c>
      <c r="I3" s="21" t="s">
        <v>29</v>
      </c>
      <c r="J3" s="21" t="s">
        <v>30</v>
      </c>
      <c r="K3" s="21" t="s">
        <v>31</v>
      </c>
      <c r="L3" s="22" t="s">
        <v>32</v>
      </c>
      <c r="M3" s="22" t="s">
        <v>33</v>
      </c>
      <c r="N3" s="22" t="s">
        <v>34</v>
      </c>
      <c r="O3" s="22" t="s">
        <v>35</v>
      </c>
      <c r="P3" s="21" t="s">
        <v>36</v>
      </c>
      <c r="Q3" s="22" t="s">
        <v>37</v>
      </c>
      <c r="R3" s="22" t="s">
        <v>38</v>
      </c>
      <c r="S3" s="23" t="s">
        <v>39</v>
      </c>
    </row>
    <row r="4" ht="15.75" customHeight="1">
      <c r="A4" s="24" t="s">
        <v>40</v>
      </c>
      <c r="B4" s="15">
        <v>14.0</v>
      </c>
      <c r="C4" s="15">
        <v>13.0</v>
      </c>
      <c r="D4" s="25">
        <v>10.0</v>
      </c>
      <c r="E4" s="15">
        <v>15.0</v>
      </c>
      <c r="F4" s="15">
        <v>12.0</v>
      </c>
      <c r="G4" s="25">
        <v>1.0</v>
      </c>
      <c r="H4" s="15">
        <v>18.0</v>
      </c>
      <c r="I4" s="15">
        <v>17.0</v>
      </c>
      <c r="J4" s="15">
        <v>11.0</v>
      </c>
      <c r="K4" s="15">
        <v>9.0</v>
      </c>
      <c r="L4" s="25">
        <v>3.0</v>
      </c>
      <c r="M4" s="25">
        <v>5.0</v>
      </c>
      <c r="N4" s="25">
        <v>7.0</v>
      </c>
      <c r="O4" s="25">
        <v>2.0</v>
      </c>
      <c r="P4" s="15">
        <v>16.0</v>
      </c>
      <c r="Q4" s="25">
        <v>4.0</v>
      </c>
      <c r="R4" s="25">
        <v>6.0</v>
      </c>
      <c r="S4" s="26">
        <v>8.0</v>
      </c>
    </row>
    <row r="5" ht="15.75" customHeight="1">
      <c r="A5" s="27" t="s">
        <v>41</v>
      </c>
      <c r="B5" s="15">
        <v>13.0</v>
      </c>
      <c r="C5" s="15">
        <v>12.0</v>
      </c>
      <c r="D5" s="25">
        <v>9.0</v>
      </c>
      <c r="E5" s="15">
        <v>16.0</v>
      </c>
      <c r="F5" s="15">
        <v>15.0</v>
      </c>
      <c r="G5" s="25">
        <v>1.0</v>
      </c>
      <c r="H5" s="15">
        <v>18.0</v>
      </c>
      <c r="I5" s="15">
        <v>17.0</v>
      </c>
      <c r="J5" s="15">
        <v>10.0</v>
      </c>
      <c r="K5" s="15">
        <v>8.0</v>
      </c>
      <c r="L5" s="25">
        <v>5.0</v>
      </c>
      <c r="M5" s="25">
        <v>2.0</v>
      </c>
      <c r="N5" s="25">
        <v>6.0</v>
      </c>
      <c r="O5" s="25">
        <v>4.0</v>
      </c>
      <c r="P5" s="15">
        <v>14.0</v>
      </c>
      <c r="Q5" s="25">
        <v>7.0</v>
      </c>
      <c r="R5" s="25">
        <v>3.0</v>
      </c>
      <c r="S5" s="26">
        <v>11.0</v>
      </c>
    </row>
    <row r="6" ht="15.75" customHeight="1">
      <c r="A6" s="27" t="s">
        <v>42</v>
      </c>
      <c r="B6" s="15">
        <v>13.0</v>
      </c>
      <c r="C6" s="15">
        <v>12.0</v>
      </c>
      <c r="D6" s="25">
        <v>7.0</v>
      </c>
      <c r="E6" s="15">
        <v>15.0</v>
      </c>
      <c r="F6" s="15">
        <v>14.0</v>
      </c>
      <c r="G6" s="25">
        <v>1.0</v>
      </c>
      <c r="H6" s="15">
        <v>18.0</v>
      </c>
      <c r="I6" s="15">
        <v>17.0</v>
      </c>
      <c r="J6" s="15">
        <v>11.0</v>
      </c>
      <c r="K6" s="15">
        <v>10.0</v>
      </c>
      <c r="L6" s="25">
        <v>5.0</v>
      </c>
      <c r="M6" s="25">
        <v>3.0</v>
      </c>
      <c r="N6" s="25">
        <v>9.0</v>
      </c>
      <c r="O6" s="25">
        <v>4.0</v>
      </c>
      <c r="P6" s="15">
        <v>16.0</v>
      </c>
      <c r="Q6" s="25">
        <v>6.0</v>
      </c>
      <c r="R6" s="25">
        <v>2.0</v>
      </c>
      <c r="S6" s="26">
        <v>8.0</v>
      </c>
    </row>
    <row r="7" ht="15.75" customHeight="1">
      <c r="A7" s="27" t="s">
        <v>43</v>
      </c>
      <c r="B7" s="15">
        <v>11.0</v>
      </c>
      <c r="C7" s="15">
        <v>10.0</v>
      </c>
      <c r="D7" s="25">
        <v>9.0</v>
      </c>
      <c r="E7" s="15">
        <v>13.0</v>
      </c>
      <c r="F7" s="15">
        <v>12.0</v>
      </c>
      <c r="G7" s="25">
        <v>1.0</v>
      </c>
      <c r="H7" s="15">
        <v>18.0</v>
      </c>
      <c r="I7" s="15">
        <v>15.0</v>
      </c>
      <c r="J7" s="15">
        <v>16.0</v>
      </c>
      <c r="K7" s="15">
        <v>17.0</v>
      </c>
      <c r="L7" s="25">
        <v>4.0</v>
      </c>
      <c r="M7" s="25">
        <v>6.0</v>
      </c>
      <c r="N7" s="25">
        <v>8.0</v>
      </c>
      <c r="O7" s="25">
        <v>5.0</v>
      </c>
      <c r="P7" s="15">
        <v>14.0</v>
      </c>
      <c r="Q7" s="25">
        <v>3.0</v>
      </c>
      <c r="R7" s="25">
        <v>2.0</v>
      </c>
      <c r="S7" s="26">
        <v>7.0</v>
      </c>
    </row>
    <row r="8" ht="15.75" customHeight="1">
      <c r="A8" s="27" t="s">
        <v>44</v>
      </c>
      <c r="B8" s="15">
        <v>10.0</v>
      </c>
      <c r="C8" s="15">
        <v>12.0</v>
      </c>
      <c r="D8" s="25">
        <v>8.0</v>
      </c>
      <c r="E8" s="15">
        <v>17.0</v>
      </c>
      <c r="F8" s="15">
        <v>15.0</v>
      </c>
      <c r="G8" s="25">
        <v>1.0</v>
      </c>
      <c r="H8" s="15">
        <v>18.0</v>
      </c>
      <c r="I8" s="15">
        <v>17.0</v>
      </c>
      <c r="J8" s="15">
        <v>13.0</v>
      </c>
      <c r="K8" s="15">
        <v>8.0</v>
      </c>
      <c r="L8" s="25">
        <v>4.0</v>
      </c>
      <c r="M8" s="25">
        <v>10.0</v>
      </c>
      <c r="N8" s="25">
        <v>7.0</v>
      </c>
      <c r="O8" s="25">
        <v>5.0</v>
      </c>
      <c r="P8" s="15">
        <v>16.0</v>
      </c>
      <c r="Q8" s="25">
        <v>8.0</v>
      </c>
      <c r="R8" s="25">
        <v>8.0</v>
      </c>
      <c r="S8" s="26">
        <v>13.0</v>
      </c>
    </row>
    <row r="9" ht="15.75" customHeight="1">
      <c r="A9" s="27" t="s">
        <v>45</v>
      </c>
      <c r="B9" s="15">
        <v>12.0</v>
      </c>
      <c r="C9" s="15">
        <v>11.0</v>
      </c>
      <c r="D9" s="25">
        <v>4.0</v>
      </c>
      <c r="E9" s="15">
        <v>14.0</v>
      </c>
      <c r="F9" s="15">
        <v>15.0</v>
      </c>
      <c r="G9" s="25">
        <v>2.0</v>
      </c>
      <c r="H9" s="15">
        <v>18.0</v>
      </c>
      <c r="I9" s="15">
        <v>16.0</v>
      </c>
      <c r="J9" s="15">
        <v>13.0</v>
      </c>
      <c r="K9" s="15">
        <v>9.0</v>
      </c>
      <c r="L9" s="25">
        <v>3.0</v>
      </c>
      <c r="M9" s="25">
        <v>10.0</v>
      </c>
      <c r="N9" s="25">
        <v>7.0</v>
      </c>
      <c r="O9" s="25">
        <v>1.0</v>
      </c>
      <c r="P9" s="15">
        <v>17.0</v>
      </c>
      <c r="Q9" s="25">
        <v>8.0</v>
      </c>
      <c r="R9" s="25">
        <v>6.0</v>
      </c>
      <c r="S9" s="26">
        <v>5.0</v>
      </c>
    </row>
    <row r="10" ht="15.75" customHeight="1">
      <c r="A10" s="27" t="s">
        <v>46</v>
      </c>
      <c r="B10" s="15">
        <v>10.0</v>
      </c>
      <c r="C10" s="15">
        <v>11.0</v>
      </c>
      <c r="D10" s="25">
        <v>9.0</v>
      </c>
      <c r="E10" s="15">
        <v>18.0</v>
      </c>
      <c r="F10" s="15">
        <v>17.0</v>
      </c>
      <c r="G10" s="25">
        <v>1.0</v>
      </c>
      <c r="H10" s="15">
        <v>16.0</v>
      </c>
      <c r="I10" s="15">
        <v>15.0</v>
      </c>
      <c r="J10" s="15">
        <v>8.0</v>
      </c>
      <c r="K10" s="15">
        <v>12.0</v>
      </c>
      <c r="L10" s="25">
        <v>6.0</v>
      </c>
      <c r="M10" s="25">
        <v>5.0</v>
      </c>
      <c r="N10" s="25">
        <v>3.0</v>
      </c>
      <c r="O10" s="25">
        <v>2.0</v>
      </c>
      <c r="P10" s="15">
        <v>14.0</v>
      </c>
      <c r="Q10" s="25">
        <v>7.0</v>
      </c>
      <c r="R10" s="25">
        <v>4.0</v>
      </c>
      <c r="S10" s="26">
        <v>13.0</v>
      </c>
    </row>
    <row r="11" ht="15.75" customHeight="1">
      <c r="A11" s="28" t="s">
        <v>47</v>
      </c>
      <c r="B11" s="21">
        <v>9.0</v>
      </c>
      <c r="C11" s="21">
        <v>12.0</v>
      </c>
      <c r="D11" s="22">
        <v>7.0</v>
      </c>
      <c r="E11" s="21">
        <v>18.0</v>
      </c>
      <c r="F11" s="21">
        <v>17.0</v>
      </c>
      <c r="G11" s="22">
        <v>1.0</v>
      </c>
      <c r="H11" s="21">
        <v>13.0</v>
      </c>
      <c r="I11" s="21">
        <v>16.0</v>
      </c>
      <c r="J11" s="21">
        <v>11.0</v>
      </c>
      <c r="K11" s="21">
        <v>8.0</v>
      </c>
      <c r="L11" s="22">
        <v>4.0</v>
      </c>
      <c r="M11" s="22">
        <v>10.0</v>
      </c>
      <c r="N11" s="22">
        <v>3.0</v>
      </c>
      <c r="O11" s="22">
        <v>5.0</v>
      </c>
      <c r="P11" s="21">
        <v>15.0</v>
      </c>
      <c r="Q11" s="22">
        <v>6.0</v>
      </c>
      <c r="R11" s="22">
        <v>2.0</v>
      </c>
      <c r="S11" s="23">
        <v>14.0</v>
      </c>
    </row>
    <row r="12" ht="15.75" customHeight="1">
      <c r="A12" s="29" t="s">
        <v>48</v>
      </c>
      <c r="B12" s="30">
        <f t="shared" ref="B12:S12" si="1">SUM(B4:B11)</f>
        <v>92</v>
      </c>
      <c r="C12" s="30">
        <f t="shared" si="1"/>
        <v>93</v>
      </c>
      <c r="D12" s="31">
        <f t="shared" si="1"/>
        <v>63</v>
      </c>
      <c r="E12" s="30">
        <f t="shared" si="1"/>
        <v>126</v>
      </c>
      <c r="F12" s="30">
        <f t="shared" si="1"/>
        <v>117</v>
      </c>
      <c r="G12" s="31">
        <f t="shared" si="1"/>
        <v>9</v>
      </c>
      <c r="H12" s="30">
        <f t="shared" si="1"/>
        <v>137</v>
      </c>
      <c r="I12" s="30">
        <f t="shared" si="1"/>
        <v>130</v>
      </c>
      <c r="J12" s="30">
        <f t="shared" si="1"/>
        <v>93</v>
      </c>
      <c r="K12" s="30">
        <f t="shared" si="1"/>
        <v>81</v>
      </c>
      <c r="L12" s="31">
        <f t="shared" si="1"/>
        <v>34</v>
      </c>
      <c r="M12" s="31">
        <f t="shared" si="1"/>
        <v>51</v>
      </c>
      <c r="N12" s="31">
        <f t="shared" si="1"/>
        <v>50</v>
      </c>
      <c r="O12" s="31">
        <f t="shared" si="1"/>
        <v>28</v>
      </c>
      <c r="P12" s="30">
        <f t="shared" si="1"/>
        <v>122</v>
      </c>
      <c r="Q12" s="31">
        <f t="shared" si="1"/>
        <v>49</v>
      </c>
      <c r="R12" s="31">
        <f t="shared" si="1"/>
        <v>33</v>
      </c>
      <c r="S12" s="32">
        <f t="shared" si="1"/>
        <v>79</v>
      </c>
    </row>
    <row r="13" ht="15.75" customHeight="1">
      <c r="A13" s="33" t="s">
        <v>49</v>
      </c>
      <c r="B13" s="21">
        <f t="shared" ref="B13:S13" si="2">B12/SUM($B$12:$S$12)</f>
        <v>0.06633020908</v>
      </c>
      <c r="C13" s="21">
        <f t="shared" si="2"/>
        <v>0.06705118962</v>
      </c>
      <c r="D13" s="22">
        <f t="shared" si="2"/>
        <v>0.04542177361</v>
      </c>
      <c r="E13" s="21">
        <f t="shared" si="2"/>
        <v>0.09084354722</v>
      </c>
      <c r="F13" s="21">
        <f t="shared" si="2"/>
        <v>0.08435472242</v>
      </c>
      <c r="G13" s="22">
        <f t="shared" si="2"/>
        <v>0.006488824802</v>
      </c>
      <c r="H13" s="21">
        <f t="shared" si="2"/>
        <v>0.09877433309</v>
      </c>
      <c r="I13" s="21">
        <f t="shared" si="2"/>
        <v>0.09372746936</v>
      </c>
      <c r="J13" s="21">
        <f t="shared" si="2"/>
        <v>0.06705118962</v>
      </c>
      <c r="K13" s="21">
        <f t="shared" si="2"/>
        <v>0.05839942322</v>
      </c>
      <c r="L13" s="22">
        <f t="shared" si="2"/>
        <v>0.02451333814</v>
      </c>
      <c r="M13" s="22">
        <f t="shared" si="2"/>
        <v>0.03677000721</v>
      </c>
      <c r="N13" s="22">
        <f t="shared" si="2"/>
        <v>0.03604902668</v>
      </c>
      <c r="O13" s="22">
        <f t="shared" si="2"/>
        <v>0.02018745494</v>
      </c>
      <c r="P13" s="21">
        <f t="shared" si="2"/>
        <v>0.08795962509</v>
      </c>
      <c r="Q13" s="22">
        <f t="shared" si="2"/>
        <v>0.03532804614</v>
      </c>
      <c r="R13" s="22">
        <f t="shared" si="2"/>
        <v>0.02379235761</v>
      </c>
      <c r="S13" s="21">
        <f t="shared" si="2"/>
        <v>0.05695746215</v>
      </c>
    </row>
    <row r="14" ht="15.75" customHeight="1"/>
    <row r="15" ht="15.75" customHeight="1">
      <c r="A15" s="34" t="s">
        <v>50</v>
      </c>
    </row>
    <row r="16" ht="15.75" customHeight="1">
      <c r="A16" s="16" t="s">
        <v>20</v>
      </c>
      <c r="B16" s="17" t="s">
        <v>21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T16" s="16" t="s">
        <v>51</v>
      </c>
    </row>
    <row r="17" ht="15.75" customHeight="1">
      <c r="A17" s="20"/>
      <c r="B17" s="21" t="s">
        <v>22</v>
      </c>
      <c r="C17" s="21" t="s">
        <v>23</v>
      </c>
      <c r="D17" s="21" t="s">
        <v>24</v>
      </c>
      <c r="E17" s="21" t="s">
        <v>25</v>
      </c>
      <c r="F17" s="21" t="s">
        <v>26</v>
      </c>
      <c r="G17" s="21" t="s">
        <v>27</v>
      </c>
      <c r="H17" s="21" t="s">
        <v>28</v>
      </c>
      <c r="I17" s="21" t="s">
        <v>29</v>
      </c>
      <c r="J17" s="21" t="s">
        <v>30</v>
      </c>
      <c r="K17" s="21" t="s">
        <v>31</v>
      </c>
      <c r="L17" s="21" t="s">
        <v>32</v>
      </c>
      <c r="M17" s="21" t="s">
        <v>33</v>
      </c>
      <c r="N17" s="21" t="s">
        <v>34</v>
      </c>
      <c r="O17" s="21" t="s">
        <v>35</v>
      </c>
      <c r="P17" s="21" t="s">
        <v>36</v>
      </c>
      <c r="Q17" s="21" t="s">
        <v>37</v>
      </c>
      <c r="R17" s="21" t="s">
        <v>38</v>
      </c>
      <c r="S17" s="23" t="s">
        <v>39</v>
      </c>
      <c r="T17" s="20"/>
    </row>
    <row r="18" ht="15.75" customHeight="1">
      <c r="A18" s="24" t="s">
        <v>40</v>
      </c>
      <c r="B18" s="15">
        <v>8.0</v>
      </c>
      <c r="C18" s="15">
        <v>8.0</v>
      </c>
      <c r="D18" s="15">
        <v>6.0</v>
      </c>
      <c r="E18" s="15">
        <v>9.0</v>
      </c>
      <c r="F18" s="15">
        <v>9.0</v>
      </c>
      <c r="G18" s="15">
        <v>1.0</v>
      </c>
      <c r="H18" s="15">
        <v>10.0</v>
      </c>
      <c r="I18" s="15">
        <v>9.0</v>
      </c>
      <c r="J18" s="15">
        <v>7.0</v>
      </c>
      <c r="K18" s="15">
        <v>7.0</v>
      </c>
      <c r="L18" s="15">
        <v>4.0</v>
      </c>
      <c r="M18" s="15">
        <v>6.0</v>
      </c>
      <c r="N18" s="15">
        <v>7.0</v>
      </c>
      <c r="O18" s="15">
        <v>3.0</v>
      </c>
      <c r="P18" s="15">
        <v>10.0</v>
      </c>
      <c r="Q18" s="15">
        <v>2.0</v>
      </c>
      <c r="R18" s="15">
        <v>2.0</v>
      </c>
      <c r="S18" s="15">
        <v>5.0</v>
      </c>
      <c r="T18" s="35">
        <f t="shared" ref="T18:T25" si="3">SUM(B18:S18)</f>
        <v>113</v>
      </c>
    </row>
    <row r="19" ht="15.75" customHeight="1">
      <c r="A19" s="27" t="s">
        <v>41</v>
      </c>
      <c r="B19" s="15">
        <v>8.0</v>
      </c>
      <c r="C19" s="15">
        <v>8.0</v>
      </c>
      <c r="D19" s="15">
        <v>7.0</v>
      </c>
      <c r="E19" s="15">
        <v>9.0</v>
      </c>
      <c r="F19" s="15">
        <v>7.0</v>
      </c>
      <c r="G19" s="15">
        <v>1.0</v>
      </c>
      <c r="H19" s="15">
        <v>10.0</v>
      </c>
      <c r="I19" s="15">
        <v>9.0</v>
      </c>
      <c r="J19" s="15">
        <v>6.0</v>
      </c>
      <c r="K19" s="15">
        <v>6.0</v>
      </c>
      <c r="L19" s="15">
        <v>4.0</v>
      </c>
      <c r="M19" s="15">
        <v>2.0</v>
      </c>
      <c r="N19" s="15">
        <v>5.0</v>
      </c>
      <c r="O19" s="15">
        <v>3.0</v>
      </c>
      <c r="P19" s="15">
        <v>9.0</v>
      </c>
      <c r="Q19" s="15">
        <v>6.0</v>
      </c>
      <c r="R19" s="15">
        <v>3.0</v>
      </c>
      <c r="S19" s="15">
        <v>8.0</v>
      </c>
      <c r="T19" s="36">
        <f t="shared" si="3"/>
        <v>111</v>
      </c>
    </row>
    <row r="20" ht="15.75" customHeight="1">
      <c r="A20" s="27" t="s">
        <v>42</v>
      </c>
      <c r="B20" s="15">
        <v>8.0</v>
      </c>
      <c r="C20" s="15">
        <v>7.0</v>
      </c>
      <c r="D20" s="15">
        <v>6.0</v>
      </c>
      <c r="E20" s="15">
        <v>8.0</v>
      </c>
      <c r="F20" s="15">
        <v>8.0</v>
      </c>
      <c r="G20" s="15">
        <v>1.0</v>
      </c>
      <c r="H20" s="15">
        <v>10.0</v>
      </c>
      <c r="I20" s="15">
        <v>9.0</v>
      </c>
      <c r="J20" s="15">
        <v>7.0</v>
      </c>
      <c r="K20" s="15">
        <v>6.0</v>
      </c>
      <c r="L20" s="15">
        <v>5.0</v>
      </c>
      <c r="M20" s="15">
        <v>3.0</v>
      </c>
      <c r="N20" s="15">
        <v>6.0</v>
      </c>
      <c r="O20" s="15">
        <v>4.0</v>
      </c>
      <c r="P20" s="15">
        <v>9.0</v>
      </c>
      <c r="Q20" s="15">
        <v>5.0</v>
      </c>
      <c r="R20" s="15">
        <v>2.0</v>
      </c>
      <c r="S20" s="15">
        <v>6.0</v>
      </c>
      <c r="T20" s="36">
        <f t="shared" si="3"/>
        <v>110</v>
      </c>
    </row>
    <row r="21" ht="15.75" customHeight="1">
      <c r="A21" s="27" t="s">
        <v>43</v>
      </c>
      <c r="B21" s="15">
        <v>7.0</v>
      </c>
      <c r="C21" s="15">
        <v>7.0</v>
      </c>
      <c r="D21" s="15">
        <v>6.0</v>
      </c>
      <c r="E21" s="15">
        <v>8.0</v>
      </c>
      <c r="F21" s="15">
        <v>8.0</v>
      </c>
      <c r="G21" s="15">
        <v>0.0</v>
      </c>
      <c r="H21" s="15">
        <v>10.0</v>
      </c>
      <c r="I21" s="15">
        <v>9.0</v>
      </c>
      <c r="J21" s="15">
        <v>8.0</v>
      </c>
      <c r="K21" s="15">
        <v>10.0</v>
      </c>
      <c r="L21" s="15">
        <v>5.0</v>
      </c>
      <c r="M21" s="15">
        <v>4.0</v>
      </c>
      <c r="N21" s="15">
        <v>4.0</v>
      </c>
      <c r="O21" s="15">
        <v>1.0</v>
      </c>
      <c r="P21" s="15">
        <v>9.0</v>
      </c>
      <c r="Q21" s="15">
        <v>0.0</v>
      </c>
      <c r="R21" s="15">
        <v>2.0</v>
      </c>
      <c r="S21" s="15">
        <v>7.0</v>
      </c>
      <c r="T21" s="36">
        <f t="shared" si="3"/>
        <v>105</v>
      </c>
    </row>
    <row r="22" ht="15.75" customHeight="1">
      <c r="A22" s="27" t="s">
        <v>44</v>
      </c>
      <c r="B22" s="15">
        <v>7.0</v>
      </c>
      <c r="C22" s="15">
        <v>7.0</v>
      </c>
      <c r="D22" s="15">
        <v>7.0</v>
      </c>
      <c r="E22" s="15">
        <v>9.0</v>
      </c>
      <c r="F22" s="15">
        <v>9.0</v>
      </c>
      <c r="G22" s="15">
        <v>0.0</v>
      </c>
      <c r="H22" s="15">
        <v>10.0</v>
      </c>
      <c r="I22" s="15">
        <v>9.0</v>
      </c>
      <c r="J22" s="15">
        <v>8.0</v>
      </c>
      <c r="K22" s="15">
        <v>7.0</v>
      </c>
      <c r="L22" s="15">
        <v>4.0</v>
      </c>
      <c r="M22" s="15">
        <v>6.0</v>
      </c>
      <c r="N22" s="15">
        <v>4.0</v>
      </c>
      <c r="O22" s="15">
        <v>2.0</v>
      </c>
      <c r="P22" s="15">
        <v>9.0</v>
      </c>
      <c r="Q22" s="15">
        <v>4.0</v>
      </c>
      <c r="R22" s="15">
        <v>5.0</v>
      </c>
      <c r="S22" s="15">
        <v>7.0</v>
      </c>
      <c r="T22" s="36">
        <f t="shared" si="3"/>
        <v>114</v>
      </c>
    </row>
    <row r="23" ht="15.75" customHeight="1">
      <c r="A23" s="27" t="s">
        <v>45</v>
      </c>
      <c r="B23" s="15">
        <v>7.0</v>
      </c>
      <c r="C23" s="15">
        <v>6.0</v>
      </c>
      <c r="D23" s="15">
        <v>3.0</v>
      </c>
      <c r="E23" s="15">
        <v>8.0</v>
      </c>
      <c r="F23" s="15">
        <v>8.0</v>
      </c>
      <c r="G23" s="15">
        <v>1.0</v>
      </c>
      <c r="H23" s="15">
        <v>10.0</v>
      </c>
      <c r="I23" s="15">
        <v>9.0</v>
      </c>
      <c r="J23" s="15">
        <v>7.0</v>
      </c>
      <c r="K23" s="15">
        <v>5.0</v>
      </c>
      <c r="L23" s="15">
        <v>2.0</v>
      </c>
      <c r="M23" s="15">
        <v>6.0</v>
      </c>
      <c r="N23" s="15">
        <v>4.0</v>
      </c>
      <c r="O23" s="15">
        <v>0.0</v>
      </c>
      <c r="P23" s="15">
        <v>9.0</v>
      </c>
      <c r="Q23" s="15">
        <v>5.0</v>
      </c>
      <c r="R23" s="15">
        <v>4.0</v>
      </c>
      <c r="S23" s="15">
        <v>3.0</v>
      </c>
      <c r="T23" s="36">
        <f t="shared" si="3"/>
        <v>97</v>
      </c>
    </row>
    <row r="24" ht="15.75" customHeight="1">
      <c r="A24" s="27" t="s">
        <v>46</v>
      </c>
      <c r="B24" s="15">
        <v>7.0</v>
      </c>
      <c r="C24" s="15">
        <v>7.0</v>
      </c>
      <c r="D24" s="15">
        <v>7.0</v>
      </c>
      <c r="E24" s="15">
        <v>10.0</v>
      </c>
      <c r="F24" s="15">
        <v>10.0</v>
      </c>
      <c r="G24" s="15">
        <v>1.0</v>
      </c>
      <c r="H24" s="15">
        <v>9.0</v>
      </c>
      <c r="I24" s="15">
        <v>9.0</v>
      </c>
      <c r="J24" s="15">
        <v>5.0</v>
      </c>
      <c r="K24" s="15">
        <v>8.0</v>
      </c>
      <c r="L24" s="15">
        <v>4.0</v>
      </c>
      <c r="M24" s="15">
        <v>3.0</v>
      </c>
      <c r="N24" s="15">
        <v>3.0</v>
      </c>
      <c r="O24" s="15">
        <v>2.0</v>
      </c>
      <c r="P24" s="15">
        <v>9.0</v>
      </c>
      <c r="Q24" s="15">
        <v>4.0</v>
      </c>
      <c r="R24" s="15">
        <v>3.0</v>
      </c>
      <c r="S24" s="15">
        <v>8.0</v>
      </c>
      <c r="T24" s="36">
        <f t="shared" si="3"/>
        <v>109</v>
      </c>
    </row>
    <row r="25" ht="15.75" customHeight="1">
      <c r="A25" s="28" t="s">
        <v>47</v>
      </c>
      <c r="B25" s="21">
        <v>7.0</v>
      </c>
      <c r="C25" s="21">
        <v>7.0</v>
      </c>
      <c r="D25" s="21">
        <v>6.0</v>
      </c>
      <c r="E25" s="21">
        <v>10.0</v>
      </c>
      <c r="F25" s="21">
        <v>10.0</v>
      </c>
      <c r="G25" s="21">
        <v>1.0</v>
      </c>
      <c r="H25" s="21">
        <v>7.0</v>
      </c>
      <c r="I25" s="21">
        <v>9.0</v>
      </c>
      <c r="J25" s="21">
        <v>6.0</v>
      </c>
      <c r="K25" s="21">
        <v>6.0</v>
      </c>
      <c r="L25" s="21">
        <v>3.0</v>
      </c>
      <c r="M25" s="21">
        <v>7.0</v>
      </c>
      <c r="N25" s="21">
        <v>2.0</v>
      </c>
      <c r="O25" s="21">
        <v>4.0</v>
      </c>
      <c r="P25" s="21">
        <v>9.0</v>
      </c>
      <c r="Q25" s="21">
        <v>4.0</v>
      </c>
      <c r="R25" s="21">
        <v>2.0</v>
      </c>
      <c r="S25" s="21">
        <v>8.0</v>
      </c>
      <c r="T25" s="33">
        <f t="shared" si="3"/>
        <v>108</v>
      </c>
    </row>
    <row r="26" ht="15.75" customHeight="1"/>
    <row r="27" ht="15.75" customHeight="1">
      <c r="A27" s="34" t="s">
        <v>52</v>
      </c>
    </row>
    <row r="28" ht="15.75" customHeight="1">
      <c r="A28" s="16" t="s">
        <v>20</v>
      </c>
      <c r="B28" s="17" t="s">
        <v>21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</row>
    <row r="29" ht="15.75" customHeight="1">
      <c r="A29" s="20"/>
      <c r="B29" s="21" t="s">
        <v>22</v>
      </c>
      <c r="C29" s="21" t="s">
        <v>23</v>
      </c>
      <c r="D29" s="22" t="s">
        <v>24</v>
      </c>
      <c r="E29" s="21" t="s">
        <v>25</v>
      </c>
      <c r="F29" s="21" t="s">
        <v>26</v>
      </c>
      <c r="G29" s="22" t="s">
        <v>27</v>
      </c>
      <c r="H29" s="21" t="s">
        <v>28</v>
      </c>
      <c r="I29" s="21" t="s">
        <v>29</v>
      </c>
      <c r="J29" s="21" t="s">
        <v>30</v>
      </c>
      <c r="K29" s="21" t="s">
        <v>31</v>
      </c>
      <c r="L29" s="22" t="s">
        <v>32</v>
      </c>
      <c r="M29" s="22" t="s">
        <v>33</v>
      </c>
      <c r="N29" s="22" t="s">
        <v>34</v>
      </c>
      <c r="O29" s="22" t="s">
        <v>35</v>
      </c>
      <c r="P29" s="21" t="s">
        <v>36</v>
      </c>
      <c r="Q29" s="22" t="s">
        <v>37</v>
      </c>
      <c r="R29" s="22" t="s">
        <v>38</v>
      </c>
      <c r="S29" s="23" t="s">
        <v>39</v>
      </c>
    </row>
    <row r="30" ht="15.75" customHeight="1">
      <c r="A30" s="24" t="s">
        <v>40</v>
      </c>
      <c r="B30" s="15">
        <f t="shared" ref="B30:S30" si="4">B18/$T$18</f>
        <v>0.07079646018</v>
      </c>
      <c r="C30" s="15">
        <f t="shared" si="4"/>
        <v>0.07079646018</v>
      </c>
      <c r="D30" s="25">
        <f t="shared" si="4"/>
        <v>0.05309734513</v>
      </c>
      <c r="E30" s="15">
        <f t="shared" si="4"/>
        <v>0.0796460177</v>
      </c>
      <c r="F30" s="15">
        <f t="shared" si="4"/>
        <v>0.0796460177</v>
      </c>
      <c r="G30" s="25">
        <f t="shared" si="4"/>
        <v>0.008849557522</v>
      </c>
      <c r="H30" s="15">
        <f t="shared" si="4"/>
        <v>0.08849557522</v>
      </c>
      <c r="I30" s="15">
        <f t="shared" si="4"/>
        <v>0.0796460177</v>
      </c>
      <c r="J30" s="15">
        <f t="shared" si="4"/>
        <v>0.06194690265</v>
      </c>
      <c r="K30" s="15">
        <f t="shared" si="4"/>
        <v>0.06194690265</v>
      </c>
      <c r="L30" s="25">
        <f t="shared" si="4"/>
        <v>0.03539823009</v>
      </c>
      <c r="M30" s="25">
        <f t="shared" si="4"/>
        <v>0.05309734513</v>
      </c>
      <c r="N30" s="25">
        <f t="shared" si="4"/>
        <v>0.06194690265</v>
      </c>
      <c r="O30" s="25">
        <f t="shared" si="4"/>
        <v>0.02654867257</v>
      </c>
      <c r="P30" s="15">
        <f t="shared" si="4"/>
        <v>0.08849557522</v>
      </c>
      <c r="Q30" s="25">
        <f t="shared" si="4"/>
        <v>0.01769911504</v>
      </c>
      <c r="R30" s="25">
        <f t="shared" si="4"/>
        <v>0.01769911504</v>
      </c>
      <c r="S30" s="26">
        <f t="shared" si="4"/>
        <v>0.04424778761</v>
      </c>
    </row>
    <row r="31" ht="15.75" customHeight="1">
      <c r="A31" s="27" t="s">
        <v>41</v>
      </c>
      <c r="B31" s="15">
        <f t="shared" ref="B31:S31" si="5">B19/$T$19</f>
        <v>0.07207207207</v>
      </c>
      <c r="C31" s="15">
        <f t="shared" si="5"/>
        <v>0.07207207207</v>
      </c>
      <c r="D31" s="25">
        <f t="shared" si="5"/>
        <v>0.06306306306</v>
      </c>
      <c r="E31" s="15">
        <f t="shared" si="5"/>
        <v>0.08108108108</v>
      </c>
      <c r="F31" s="15">
        <f t="shared" si="5"/>
        <v>0.06306306306</v>
      </c>
      <c r="G31" s="25">
        <f t="shared" si="5"/>
        <v>0.009009009009</v>
      </c>
      <c r="H31" s="15">
        <f t="shared" si="5"/>
        <v>0.09009009009</v>
      </c>
      <c r="I31" s="15">
        <f t="shared" si="5"/>
        <v>0.08108108108</v>
      </c>
      <c r="J31" s="15">
        <f t="shared" si="5"/>
        <v>0.05405405405</v>
      </c>
      <c r="K31" s="15">
        <f t="shared" si="5"/>
        <v>0.05405405405</v>
      </c>
      <c r="L31" s="25">
        <f t="shared" si="5"/>
        <v>0.03603603604</v>
      </c>
      <c r="M31" s="25">
        <f t="shared" si="5"/>
        <v>0.01801801802</v>
      </c>
      <c r="N31" s="25">
        <f t="shared" si="5"/>
        <v>0.04504504505</v>
      </c>
      <c r="O31" s="25">
        <f t="shared" si="5"/>
        <v>0.02702702703</v>
      </c>
      <c r="P31" s="15">
        <f t="shared" si="5"/>
        <v>0.08108108108</v>
      </c>
      <c r="Q31" s="25">
        <f t="shared" si="5"/>
        <v>0.05405405405</v>
      </c>
      <c r="R31" s="25">
        <f t="shared" si="5"/>
        <v>0.02702702703</v>
      </c>
      <c r="S31" s="26">
        <f t="shared" si="5"/>
        <v>0.07207207207</v>
      </c>
    </row>
    <row r="32" ht="15.75" customHeight="1">
      <c r="A32" s="27" t="s">
        <v>42</v>
      </c>
      <c r="B32" s="15">
        <f t="shared" ref="B32:S32" si="6">B20/$T$20</f>
        <v>0.07272727273</v>
      </c>
      <c r="C32" s="15">
        <f t="shared" si="6"/>
        <v>0.06363636364</v>
      </c>
      <c r="D32" s="25">
        <f t="shared" si="6"/>
        <v>0.05454545455</v>
      </c>
      <c r="E32" s="15">
        <f t="shared" si="6"/>
        <v>0.07272727273</v>
      </c>
      <c r="F32" s="15">
        <f t="shared" si="6"/>
        <v>0.07272727273</v>
      </c>
      <c r="G32" s="25">
        <f t="shared" si="6"/>
        <v>0.009090909091</v>
      </c>
      <c r="H32" s="15">
        <f t="shared" si="6"/>
        <v>0.09090909091</v>
      </c>
      <c r="I32" s="15">
        <f t="shared" si="6"/>
        <v>0.08181818182</v>
      </c>
      <c r="J32" s="15">
        <f t="shared" si="6"/>
        <v>0.06363636364</v>
      </c>
      <c r="K32" s="15">
        <f t="shared" si="6"/>
        <v>0.05454545455</v>
      </c>
      <c r="L32" s="25">
        <f t="shared" si="6"/>
        <v>0.04545454545</v>
      </c>
      <c r="M32" s="25">
        <f t="shared" si="6"/>
        <v>0.02727272727</v>
      </c>
      <c r="N32" s="25">
        <f t="shared" si="6"/>
        <v>0.05454545455</v>
      </c>
      <c r="O32" s="25">
        <f t="shared" si="6"/>
        <v>0.03636363636</v>
      </c>
      <c r="P32" s="15">
        <f t="shared" si="6"/>
        <v>0.08181818182</v>
      </c>
      <c r="Q32" s="25">
        <f t="shared" si="6"/>
        <v>0.04545454545</v>
      </c>
      <c r="R32" s="25">
        <f t="shared" si="6"/>
        <v>0.01818181818</v>
      </c>
      <c r="S32" s="26">
        <f t="shared" si="6"/>
        <v>0.05454545455</v>
      </c>
    </row>
    <row r="33" ht="15.75" customHeight="1">
      <c r="A33" s="27" t="s">
        <v>43</v>
      </c>
      <c r="B33" s="15">
        <f t="shared" ref="B33:S33" si="7">B21/$T$21</f>
        <v>0.06666666667</v>
      </c>
      <c r="C33" s="15">
        <f t="shared" si="7"/>
        <v>0.06666666667</v>
      </c>
      <c r="D33" s="25">
        <f t="shared" si="7"/>
        <v>0.05714285714</v>
      </c>
      <c r="E33" s="15">
        <f t="shared" si="7"/>
        <v>0.07619047619</v>
      </c>
      <c r="F33" s="15">
        <f t="shared" si="7"/>
        <v>0.07619047619</v>
      </c>
      <c r="G33" s="25">
        <f t="shared" si="7"/>
        <v>0</v>
      </c>
      <c r="H33" s="15">
        <f t="shared" si="7"/>
        <v>0.09523809524</v>
      </c>
      <c r="I33" s="15">
        <f t="shared" si="7"/>
        <v>0.08571428571</v>
      </c>
      <c r="J33" s="15">
        <f t="shared" si="7"/>
        <v>0.07619047619</v>
      </c>
      <c r="K33" s="15">
        <f t="shared" si="7"/>
        <v>0.09523809524</v>
      </c>
      <c r="L33" s="25">
        <f t="shared" si="7"/>
        <v>0.04761904762</v>
      </c>
      <c r="M33" s="25">
        <f t="shared" si="7"/>
        <v>0.0380952381</v>
      </c>
      <c r="N33" s="25">
        <f t="shared" si="7"/>
        <v>0.0380952381</v>
      </c>
      <c r="O33" s="25">
        <f t="shared" si="7"/>
        <v>0.009523809524</v>
      </c>
      <c r="P33" s="15">
        <f t="shared" si="7"/>
        <v>0.08571428571</v>
      </c>
      <c r="Q33" s="25">
        <f t="shared" si="7"/>
        <v>0</v>
      </c>
      <c r="R33" s="25">
        <f t="shared" si="7"/>
        <v>0.01904761905</v>
      </c>
      <c r="S33" s="26">
        <f t="shared" si="7"/>
        <v>0.06666666667</v>
      </c>
    </row>
    <row r="34" ht="15.75" customHeight="1">
      <c r="A34" s="27" t="s">
        <v>44</v>
      </c>
      <c r="B34" s="15">
        <f t="shared" ref="B34:S34" si="8">B22/$T$22</f>
        <v>0.06140350877</v>
      </c>
      <c r="C34" s="15">
        <f t="shared" si="8"/>
        <v>0.06140350877</v>
      </c>
      <c r="D34" s="25">
        <f t="shared" si="8"/>
        <v>0.06140350877</v>
      </c>
      <c r="E34" s="15">
        <f t="shared" si="8"/>
        <v>0.07894736842</v>
      </c>
      <c r="F34" s="15">
        <f t="shared" si="8"/>
        <v>0.07894736842</v>
      </c>
      <c r="G34" s="25">
        <f t="shared" si="8"/>
        <v>0</v>
      </c>
      <c r="H34" s="15">
        <f t="shared" si="8"/>
        <v>0.08771929825</v>
      </c>
      <c r="I34" s="15">
        <f t="shared" si="8"/>
        <v>0.07894736842</v>
      </c>
      <c r="J34" s="15">
        <f t="shared" si="8"/>
        <v>0.0701754386</v>
      </c>
      <c r="K34" s="15">
        <f t="shared" si="8"/>
        <v>0.06140350877</v>
      </c>
      <c r="L34" s="25">
        <f t="shared" si="8"/>
        <v>0.0350877193</v>
      </c>
      <c r="M34" s="25">
        <f t="shared" si="8"/>
        <v>0.05263157895</v>
      </c>
      <c r="N34" s="25">
        <f t="shared" si="8"/>
        <v>0.0350877193</v>
      </c>
      <c r="O34" s="25">
        <f t="shared" si="8"/>
        <v>0.01754385965</v>
      </c>
      <c r="P34" s="15">
        <f t="shared" si="8"/>
        <v>0.07894736842</v>
      </c>
      <c r="Q34" s="25">
        <f t="shared" si="8"/>
        <v>0.0350877193</v>
      </c>
      <c r="R34" s="25">
        <f t="shared" si="8"/>
        <v>0.04385964912</v>
      </c>
      <c r="S34" s="26">
        <f t="shared" si="8"/>
        <v>0.06140350877</v>
      </c>
    </row>
    <row r="35" ht="15.75" customHeight="1">
      <c r="A35" s="27" t="s">
        <v>45</v>
      </c>
      <c r="B35" s="15">
        <f t="shared" ref="B35:S35" si="9">B23/$T$23</f>
        <v>0.07216494845</v>
      </c>
      <c r="C35" s="15">
        <f t="shared" si="9"/>
        <v>0.0618556701</v>
      </c>
      <c r="D35" s="25">
        <f t="shared" si="9"/>
        <v>0.03092783505</v>
      </c>
      <c r="E35" s="15">
        <f t="shared" si="9"/>
        <v>0.0824742268</v>
      </c>
      <c r="F35" s="15">
        <f t="shared" si="9"/>
        <v>0.0824742268</v>
      </c>
      <c r="G35" s="25">
        <f t="shared" si="9"/>
        <v>0.01030927835</v>
      </c>
      <c r="H35" s="15">
        <f t="shared" si="9"/>
        <v>0.1030927835</v>
      </c>
      <c r="I35" s="15">
        <f t="shared" si="9"/>
        <v>0.09278350515</v>
      </c>
      <c r="J35" s="15">
        <f t="shared" si="9"/>
        <v>0.07216494845</v>
      </c>
      <c r="K35" s="15">
        <f t="shared" si="9"/>
        <v>0.05154639175</v>
      </c>
      <c r="L35" s="25">
        <f t="shared" si="9"/>
        <v>0.0206185567</v>
      </c>
      <c r="M35" s="25">
        <f t="shared" si="9"/>
        <v>0.0618556701</v>
      </c>
      <c r="N35" s="25">
        <f t="shared" si="9"/>
        <v>0.0412371134</v>
      </c>
      <c r="O35" s="25">
        <f t="shared" si="9"/>
        <v>0</v>
      </c>
      <c r="P35" s="15">
        <f t="shared" si="9"/>
        <v>0.09278350515</v>
      </c>
      <c r="Q35" s="25">
        <f t="shared" si="9"/>
        <v>0.05154639175</v>
      </c>
      <c r="R35" s="25">
        <f t="shared" si="9"/>
        <v>0.0412371134</v>
      </c>
      <c r="S35" s="26">
        <f t="shared" si="9"/>
        <v>0.03092783505</v>
      </c>
    </row>
    <row r="36" ht="15.75" customHeight="1">
      <c r="A36" s="27" t="s">
        <v>46</v>
      </c>
      <c r="B36" s="15">
        <f t="shared" ref="B36:S36" si="10">B24/$T$24</f>
        <v>0.06422018349</v>
      </c>
      <c r="C36" s="15">
        <f t="shared" si="10"/>
        <v>0.06422018349</v>
      </c>
      <c r="D36" s="25">
        <f t="shared" si="10"/>
        <v>0.06422018349</v>
      </c>
      <c r="E36" s="15">
        <f t="shared" si="10"/>
        <v>0.09174311927</v>
      </c>
      <c r="F36" s="15">
        <f t="shared" si="10"/>
        <v>0.09174311927</v>
      </c>
      <c r="G36" s="25">
        <f t="shared" si="10"/>
        <v>0.009174311927</v>
      </c>
      <c r="H36" s="15">
        <f t="shared" si="10"/>
        <v>0.08256880734</v>
      </c>
      <c r="I36" s="15">
        <f t="shared" si="10"/>
        <v>0.08256880734</v>
      </c>
      <c r="J36" s="15">
        <f t="shared" si="10"/>
        <v>0.04587155963</v>
      </c>
      <c r="K36" s="15">
        <f t="shared" si="10"/>
        <v>0.07339449541</v>
      </c>
      <c r="L36" s="25">
        <f t="shared" si="10"/>
        <v>0.03669724771</v>
      </c>
      <c r="M36" s="25">
        <f t="shared" si="10"/>
        <v>0.02752293578</v>
      </c>
      <c r="N36" s="25">
        <f t="shared" si="10"/>
        <v>0.02752293578</v>
      </c>
      <c r="O36" s="25">
        <f t="shared" si="10"/>
        <v>0.01834862385</v>
      </c>
      <c r="P36" s="15">
        <f t="shared" si="10"/>
        <v>0.08256880734</v>
      </c>
      <c r="Q36" s="25">
        <f t="shared" si="10"/>
        <v>0.03669724771</v>
      </c>
      <c r="R36" s="25">
        <f t="shared" si="10"/>
        <v>0.02752293578</v>
      </c>
      <c r="S36" s="26">
        <f t="shared" si="10"/>
        <v>0.07339449541</v>
      </c>
    </row>
    <row r="37" ht="15.75" customHeight="1">
      <c r="A37" s="28" t="s">
        <v>47</v>
      </c>
      <c r="B37" s="15">
        <f t="shared" ref="B37:S37" si="11">B25/$T$25</f>
        <v>0.06481481481</v>
      </c>
      <c r="C37" s="15">
        <f t="shared" si="11"/>
        <v>0.06481481481</v>
      </c>
      <c r="D37" s="25">
        <f t="shared" si="11"/>
        <v>0.05555555556</v>
      </c>
      <c r="E37" s="15">
        <f t="shared" si="11"/>
        <v>0.09259259259</v>
      </c>
      <c r="F37" s="15">
        <f t="shared" si="11"/>
        <v>0.09259259259</v>
      </c>
      <c r="G37" s="25">
        <f t="shared" si="11"/>
        <v>0.009259259259</v>
      </c>
      <c r="H37" s="15">
        <f t="shared" si="11"/>
        <v>0.06481481481</v>
      </c>
      <c r="I37" s="15">
        <f t="shared" si="11"/>
        <v>0.08333333333</v>
      </c>
      <c r="J37" s="15">
        <f t="shared" si="11"/>
        <v>0.05555555556</v>
      </c>
      <c r="K37" s="15">
        <f t="shared" si="11"/>
        <v>0.05555555556</v>
      </c>
      <c r="L37" s="25">
        <f t="shared" si="11"/>
        <v>0.02777777778</v>
      </c>
      <c r="M37" s="25">
        <f t="shared" si="11"/>
        <v>0.06481481481</v>
      </c>
      <c r="N37" s="25">
        <f t="shared" si="11"/>
        <v>0.01851851852</v>
      </c>
      <c r="O37" s="25">
        <f t="shared" si="11"/>
        <v>0.03703703704</v>
      </c>
      <c r="P37" s="15">
        <f t="shared" si="11"/>
        <v>0.08333333333</v>
      </c>
      <c r="Q37" s="25">
        <f t="shared" si="11"/>
        <v>0.03703703704</v>
      </c>
      <c r="R37" s="25">
        <f t="shared" si="11"/>
        <v>0.01851851852</v>
      </c>
      <c r="S37" s="26">
        <f t="shared" si="11"/>
        <v>0.07407407407</v>
      </c>
    </row>
    <row r="38" ht="15.75" customHeight="1">
      <c r="A38" s="35" t="s">
        <v>48</v>
      </c>
      <c r="B38" s="37">
        <f t="shared" ref="B38:S38" si="12">SUM(B30:B37)</f>
        <v>0.5448659272</v>
      </c>
      <c r="C38" s="37">
        <f t="shared" si="12"/>
        <v>0.5254657397</v>
      </c>
      <c r="D38" s="38">
        <f t="shared" si="12"/>
        <v>0.4399558027</v>
      </c>
      <c r="E38" s="37">
        <f t="shared" si="12"/>
        <v>0.6554021548</v>
      </c>
      <c r="F38" s="37">
        <f t="shared" si="12"/>
        <v>0.6373841368</v>
      </c>
      <c r="G38" s="38">
        <f t="shared" si="12"/>
        <v>0.05569232516</v>
      </c>
      <c r="H38" s="37">
        <f t="shared" si="12"/>
        <v>0.7029285554</v>
      </c>
      <c r="I38" s="37">
        <f t="shared" si="12"/>
        <v>0.6658925806</v>
      </c>
      <c r="J38" s="37">
        <f t="shared" si="12"/>
        <v>0.4995952988</v>
      </c>
      <c r="K38" s="37">
        <f t="shared" si="12"/>
        <v>0.507684458</v>
      </c>
      <c r="L38" s="38">
        <f t="shared" si="12"/>
        <v>0.2846891607</v>
      </c>
      <c r="M38" s="38">
        <f t="shared" si="12"/>
        <v>0.3433083282</v>
      </c>
      <c r="N38" s="38">
        <f t="shared" si="12"/>
        <v>0.3219989273</v>
      </c>
      <c r="O38" s="38">
        <f t="shared" si="12"/>
        <v>0.172392666</v>
      </c>
      <c r="P38" s="37">
        <f t="shared" si="12"/>
        <v>0.6747421381</v>
      </c>
      <c r="Q38" s="38">
        <f t="shared" si="12"/>
        <v>0.2775761103</v>
      </c>
      <c r="R38" s="38">
        <f t="shared" si="12"/>
        <v>0.2130937961</v>
      </c>
      <c r="S38" s="39">
        <f t="shared" si="12"/>
        <v>0.4773318942</v>
      </c>
    </row>
    <row r="39" ht="15.75" customHeight="1">
      <c r="A39" s="29" t="s">
        <v>49</v>
      </c>
      <c r="B39" s="30">
        <f t="shared" ref="B39:S39" si="13">B38/SUM($B$38:$S$38)</f>
        <v>0.0681082409</v>
      </c>
      <c r="C39" s="30">
        <f t="shared" si="13"/>
        <v>0.06568321747</v>
      </c>
      <c r="D39" s="31">
        <f t="shared" si="13"/>
        <v>0.05499447534</v>
      </c>
      <c r="E39" s="30">
        <f t="shared" si="13"/>
        <v>0.08192526935</v>
      </c>
      <c r="F39" s="30">
        <f t="shared" si="13"/>
        <v>0.0796730171</v>
      </c>
      <c r="G39" s="31">
        <f t="shared" si="13"/>
        <v>0.006961540645</v>
      </c>
      <c r="H39" s="30">
        <f t="shared" si="13"/>
        <v>0.08786606942</v>
      </c>
      <c r="I39" s="30">
        <f t="shared" si="13"/>
        <v>0.08323657257</v>
      </c>
      <c r="J39" s="30">
        <f t="shared" si="13"/>
        <v>0.06244941235</v>
      </c>
      <c r="K39" s="30">
        <f t="shared" si="13"/>
        <v>0.06346055725</v>
      </c>
      <c r="L39" s="31">
        <f t="shared" si="13"/>
        <v>0.03558614509</v>
      </c>
      <c r="M39" s="31">
        <f t="shared" si="13"/>
        <v>0.04291354102</v>
      </c>
      <c r="N39" s="31">
        <f t="shared" si="13"/>
        <v>0.04024986592</v>
      </c>
      <c r="O39" s="31">
        <f t="shared" si="13"/>
        <v>0.02154908325</v>
      </c>
      <c r="P39" s="30">
        <f t="shared" si="13"/>
        <v>0.08434276726</v>
      </c>
      <c r="Q39" s="31">
        <f t="shared" si="13"/>
        <v>0.03469701379</v>
      </c>
      <c r="R39" s="31">
        <f t="shared" si="13"/>
        <v>0.02663672452</v>
      </c>
      <c r="S39" s="30">
        <f t="shared" si="13"/>
        <v>0.05966648678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3"/>
    <mergeCell ref="B2:S2"/>
    <mergeCell ref="A16:A17"/>
    <mergeCell ref="B16:S16"/>
    <mergeCell ref="T16:T17"/>
    <mergeCell ref="A28:A29"/>
    <mergeCell ref="B28:S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1" width="7.13"/>
  </cols>
  <sheetData>
    <row r="1" ht="15.75" customHeight="1">
      <c r="A1" s="14" t="s">
        <v>19</v>
      </c>
      <c r="B1" s="15"/>
    </row>
    <row r="2" ht="15.75" customHeight="1">
      <c r="A2" s="16" t="s">
        <v>20</v>
      </c>
      <c r="B2" s="17" t="s">
        <v>21</v>
      </c>
      <c r="C2" s="18"/>
      <c r="D2" s="18"/>
      <c r="E2" s="18"/>
      <c r="F2" s="18"/>
      <c r="G2" s="18"/>
      <c r="H2" s="18"/>
      <c r="I2" s="18"/>
      <c r="J2" s="18"/>
      <c r="K2" s="19"/>
    </row>
    <row r="3" ht="15.75" customHeight="1">
      <c r="A3" s="20"/>
      <c r="B3" s="21" t="s">
        <v>22</v>
      </c>
      <c r="C3" s="21" t="s">
        <v>23</v>
      </c>
      <c r="D3" s="21" t="s">
        <v>25</v>
      </c>
      <c r="E3" s="21" t="s">
        <v>26</v>
      </c>
      <c r="F3" s="21" t="s">
        <v>28</v>
      </c>
      <c r="G3" s="21" t="s">
        <v>29</v>
      </c>
      <c r="H3" s="21" t="s">
        <v>30</v>
      </c>
      <c r="I3" s="21" t="s">
        <v>31</v>
      </c>
      <c r="J3" s="21" t="s">
        <v>36</v>
      </c>
      <c r="K3" s="23" t="s">
        <v>39</v>
      </c>
      <c r="N3" s="15">
        <v>18.0</v>
      </c>
      <c r="O3" s="15">
        <v>10.0</v>
      </c>
    </row>
    <row r="4" ht="15.75" customHeight="1">
      <c r="A4" s="24" t="s">
        <v>40</v>
      </c>
      <c r="B4" s="15">
        <v>6.0</v>
      </c>
      <c r="C4" s="15">
        <v>5.0</v>
      </c>
      <c r="D4" s="15">
        <v>7.0</v>
      </c>
      <c r="E4" s="15">
        <v>4.0</v>
      </c>
      <c r="F4" s="15">
        <v>10.0</v>
      </c>
      <c r="G4" s="15">
        <v>9.0</v>
      </c>
      <c r="H4" s="15">
        <v>3.0</v>
      </c>
      <c r="I4" s="15">
        <v>2.0</v>
      </c>
      <c r="J4" s="15">
        <v>8.0</v>
      </c>
      <c r="K4" s="26">
        <v>1.0</v>
      </c>
      <c r="N4" s="15">
        <v>17.0</v>
      </c>
      <c r="O4" s="15">
        <v>9.0</v>
      </c>
    </row>
    <row r="5" ht="15.75" customHeight="1">
      <c r="A5" s="27" t="s">
        <v>41</v>
      </c>
      <c r="B5" s="15">
        <v>5.0</v>
      </c>
      <c r="C5" s="15">
        <v>4.0</v>
      </c>
      <c r="D5" s="15">
        <v>8.0</v>
      </c>
      <c r="E5" s="15">
        <v>7.0</v>
      </c>
      <c r="F5" s="15">
        <v>10.0</v>
      </c>
      <c r="G5" s="15">
        <v>9.0</v>
      </c>
      <c r="H5" s="15">
        <v>2.0</v>
      </c>
      <c r="I5" s="15">
        <v>1.0</v>
      </c>
      <c r="J5" s="15">
        <v>6.0</v>
      </c>
      <c r="K5" s="26">
        <v>3.0</v>
      </c>
      <c r="N5" s="15">
        <v>16.0</v>
      </c>
      <c r="O5" s="15">
        <v>8.0</v>
      </c>
    </row>
    <row r="6" ht="15.75" customHeight="1">
      <c r="A6" s="27" t="s">
        <v>42</v>
      </c>
      <c r="B6" s="15">
        <v>5.0</v>
      </c>
      <c r="C6" s="15">
        <v>4.0</v>
      </c>
      <c r="D6" s="15">
        <v>7.0</v>
      </c>
      <c r="E6" s="15">
        <v>6.0</v>
      </c>
      <c r="F6" s="15">
        <v>10.0</v>
      </c>
      <c r="G6" s="15">
        <v>9.0</v>
      </c>
      <c r="H6" s="15">
        <v>3.0</v>
      </c>
      <c r="I6" s="15">
        <v>2.0</v>
      </c>
      <c r="J6" s="15">
        <v>8.0</v>
      </c>
      <c r="K6" s="26">
        <v>1.0</v>
      </c>
      <c r="N6" s="15">
        <v>15.0</v>
      </c>
      <c r="O6" s="15">
        <v>7.0</v>
      </c>
    </row>
    <row r="7" ht="15.75" customHeight="1">
      <c r="A7" s="27" t="s">
        <v>43</v>
      </c>
      <c r="B7" s="15">
        <v>3.0</v>
      </c>
      <c r="C7" s="15">
        <v>2.0</v>
      </c>
      <c r="D7" s="15">
        <v>5.0</v>
      </c>
      <c r="E7" s="15">
        <v>4.0</v>
      </c>
      <c r="F7" s="15">
        <v>10.0</v>
      </c>
      <c r="G7" s="15">
        <v>7.0</v>
      </c>
      <c r="H7" s="15">
        <v>8.0</v>
      </c>
      <c r="I7" s="15">
        <v>9.0</v>
      </c>
      <c r="J7" s="15">
        <v>6.0</v>
      </c>
      <c r="K7" s="26">
        <v>1.0</v>
      </c>
      <c r="N7" s="15">
        <v>14.0</v>
      </c>
      <c r="O7" s="15">
        <v>6.0</v>
      </c>
    </row>
    <row r="8" ht="15.75" customHeight="1">
      <c r="A8" s="27" t="s">
        <v>44</v>
      </c>
      <c r="B8" s="15">
        <v>3.0</v>
      </c>
      <c r="C8" s="15">
        <v>4.0</v>
      </c>
      <c r="D8" s="15">
        <v>8.0</v>
      </c>
      <c r="E8" s="15">
        <v>6.0</v>
      </c>
      <c r="F8" s="15">
        <v>10.0</v>
      </c>
      <c r="G8" s="15">
        <v>9.0</v>
      </c>
      <c r="H8" s="15">
        <v>2.0</v>
      </c>
      <c r="I8" s="15">
        <v>1.0</v>
      </c>
      <c r="J8" s="15">
        <v>7.0</v>
      </c>
      <c r="K8" s="26">
        <v>5.0</v>
      </c>
      <c r="N8" s="15">
        <v>13.0</v>
      </c>
      <c r="O8" s="15">
        <v>5.0</v>
      </c>
    </row>
    <row r="9" ht="15.75" customHeight="1">
      <c r="A9" s="27" t="s">
        <v>45</v>
      </c>
      <c r="B9" s="15">
        <v>4.0</v>
      </c>
      <c r="C9" s="15">
        <v>3.0</v>
      </c>
      <c r="D9" s="15">
        <v>6.0</v>
      </c>
      <c r="E9" s="15">
        <v>7.0</v>
      </c>
      <c r="F9" s="15">
        <v>10.0</v>
      </c>
      <c r="G9" s="15">
        <v>8.0</v>
      </c>
      <c r="H9" s="15">
        <v>5.0</v>
      </c>
      <c r="I9" s="15">
        <v>2.0</v>
      </c>
      <c r="J9" s="15">
        <v>9.0</v>
      </c>
      <c r="K9" s="26">
        <v>1.0</v>
      </c>
      <c r="N9" s="15">
        <v>12.0</v>
      </c>
      <c r="O9" s="15">
        <v>4.0</v>
      </c>
    </row>
    <row r="10" ht="15.75" customHeight="1">
      <c r="A10" s="27" t="s">
        <v>46</v>
      </c>
      <c r="B10" s="15">
        <v>2.0</v>
      </c>
      <c r="C10" s="15">
        <v>3.0</v>
      </c>
      <c r="D10" s="15">
        <v>10.0</v>
      </c>
      <c r="E10" s="15">
        <v>9.0</v>
      </c>
      <c r="F10" s="15">
        <v>8.0</v>
      </c>
      <c r="G10" s="15">
        <v>7.0</v>
      </c>
      <c r="H10" s="15">
        <v>1.0</v>
      </c>
      <c r="I10" s="15">
        <v>4.0</v>
      </c>
      <c r="J10" s="15">
        <v>6.0</v>
      </c>
      <c r="K10" s="26">
        <v>5.0</v>
      </c>
      <c r="N10" s="15">
        <v>11.0</v>
      </c>
      <c r="O10" s="15">
        <v>3.0</v>
      </c>
    </row>
    <row r="11" ht="15.75" customHeight="1">
      <c r="A11" s="28" t="s">
        <v>47</v>
      </c>
      <c r="B11" s="21">
        <v>2.0</v>
      </c>
      <c r="C11" s="21">
        <v>4.0</v>
      </c>
      <c r="D11" s="21">
        <v>10.0</v>
      </c>
      <c r="E11" s="21">
        <v>9.0</v>
      </c>
      <c r="F11" s="21">
        <v>5.0</v>
      </c>
      <c r="G11" s="21">
        <v>8.0</v>
      </c>
      <c r="H11" s="21">
        <v>3.0</v>
      </c>
      <c r="I11" s="21">
        <v>1.0</v>
      </c>
      <c r="J11" s="21">
        <v>7.0</v>
      </c>
      <c r="K11" s="23">
        <v>6.0</v>
      </c>
      <c r="N11" s="15">
        <v>10.0</v>
      </c>
      <c r="O11" s="15">
        <v>2.0</v>
      </c>
    </row>
    <row r="12" ht="15.75" customHeight="1">
      <c r="A12" s="29" t="s">
        <v>48</v>
      </c>
      <c r="B12" s="30">
        <f t="shared" ref="B12:K12" si="1">SUM(B4:B11)</f>
        <v>30</v>
      </c>
      <c r="C12" s="30">
        <f t="shared" si="1"/>
        <v>29</v>
      </c>
      <c r="D12" s="30">
        <f t="shared" si="1"/>
        <v>61</v>
      </c>
      <c r="E12" s="30">
        <f t="shared" si="1"/>
        <v>52</v>
      </c>
      <c r="F12" s="30">
        <f t="shared" si="1"/>
        <v>73</v>
      </c>
      <c r="G12" s="30">
        <f t="shared" si="1"/>
        <v>66</v>
      </c>
      <c r="H12" s="30">
        <f t="shared" si="1"/>
        <v>27</v>
      </c>
      <c r="I12" s="30">
        <f t="shared" si="1"/>
        <v>22</v>
      </c>
      <c r="J12" s="30">
        <f t="shared" si="1"/>
        <v>57</v>
      </c>
      <c r="K12" s="32">
        <f t="shared" si="1"/>
        <v>23</v>
      </c>
      <c r="N12" s="15">
        <v>9.0</v>
      </c>
      <c r="O12" s="15">
        <v>1.0</v>
      </c>
    </row>
    <row r="13" ht="15.75" customHeight="1">
      <c r="A13" s="33" t="s">
        <v>49</v>
      </c>
      <c r="B13" s="21">
        <f t="shared" ref="B13:K13" si="2">B12/SUM($B$12:$K$12)</f>
        <v>0.06818181818</v>
      </c>
      <c r="C13" s="21">
        <f t="shared" si="2"/>
        <v>0.06590909091</v>
      </c>
      <c r="D13" s="21">
        <f t="shared" si="2"/>
        <v>0.1386363636</v>
      </c>
      <c r="E13" s="21">
        <f t="shared" si="2"/>
        <v>0.1181818182</v>
      </c>
      <c r="F13" s="21">
        <f t="shared" si="2"/>
        <v>0.1659090909</v>
      </c>
      <c r="G13" s="21">
        <f t="shared" si="2"/>
        <v>0.15</v>
      </c>
      <c r="H13" s="21">
        <f t="shared" si="2"/>
        <v>0.06136363636</v>
      </c>
      <c r="I13" s="21">
        <f t="shared" si="2"/>
        <v>0.05</v>
      </c>
      <c r="J13" s="21">
        <f t="shared" si="2"/>
        <v>0.1295454545</v>
      </c>
      <c r="K13" s="21">
        <f t="shared" si="2"/>
        <v>0.05227272727</v>
      </c>
      <c r="N13" s="15">
        <v>8.0</v>
      </c>
      <c r="O13" s="15">
        <v>0.0</v>
      </c>
    </row>
    <row r="14" ht="15.75" customHeight="1">
      <c r="N14" s="15">
        <v>7.0</v>
      </c>
      <c r="O14" s="15">
        <v>-1.0</v>
      </c>
    </row>
    <row r="15" ht="15.75" customHeight="1">
      <c r="A15" s="34" t="s">
        <v>50</v>
      </c>
      <c r="N15" s="15">
        <v>6.0</v>
      </c>
      <c r="O15" s="15">
        <v>-2.0</v>
      </c>
    </row>
    <row r="16" ht="15.75" customHeight="1">
      <c r="A16" s="16" t="s">
        <v>20</v>
      </c>
      <c r="B16" s="17" t="s">
        <v>21</v>
      </c>
      <c r="C16" s="18"/>
      <c r="D16" s="18"/>
      <c r="E16" s="18"/>
      <c r="F16" s="18"/>
      <c r="G16" s="18"/>
      <c r="H16" s="18"/>
      <c r="I16" s="18"/>
      <c r="J16" s="18"/>
      <c r="K16" s="19"/>
      <c r="L16" s="16" t="s">
        <v>51</v>
      </c>
    </row>
    <row r="17" ht="15.75" customHeight="1">
      <c r="A17" s="20"/>
      <c r="B17" s="21" t="s">
        <v>22</v>
      </c>
      <c r="C17" s="21" t="s">
        <v>23</v>
      </c>
      <c r="D17" s="21" t="s">
        <v>25</v>
      </c>
      <c r="E17" s="21" t="s">
        <v>26</v>
      </c>
      <c r="F17" s="21" t="s">
        <v>28</v>
      </c>
      <c r="G17" s="21" t="s">
        <v>29</v>
      </c>
      <c r="H17" s="21" t="s">
        <v>30</v>
      </c>
      <c r="I17" s="21" t="s">
        <v>31</v>
      </c>
      <c r="J17" s="21" t="s">
        <v>36</v>
      </c>
      <c r="K17" s="23" t="s">
        <v>39</v>
      </c>
      <c r="L17" s="20"/>
    </row>
    <row r="18" ht="15.75" customHeight="1">
      <c r="A18" s="24" t="s">
        <v>40</v>
      </c>
      <c r="B18" s="15">
        <v>8.0</v>
      </c>
      <c r="C18" s="15">
        <v>8.0</v>
      </c>
      <c r="D18" s="15">
        <v>9.0</v>
      </c>
      <c r="E18" s="15">
        <v>9.0</v>
      </c>
      <c r="F18" s="15">
        <v>10.0</v>
      </c>
      <c r="G18" s="15">
        <v>9.0</v>
      </c>
      <c r="H18" s="15">
        <v>7.0</v>
      </c>
      <c r="I18" s="15">
        <v>7.0</v>
      </c>
      <c r="J18" s="15">
        <v>10.0</v>
      </c>
      <c r="K18" s="15">
        <v>5.0</v>
      </c>
      <c r="L18" s="35">
        <f t="shared" ref="L18:L25" si="3">SUM(B18:K18)</f>
        <v>82</v>
      </c>
    </row>
    <row r="19" ht="15.75" customHeight="1">
      <c r="A19" s="27" t="s">
        <v>41</v>
      </c>
      <c r="B19" s="15">
        <v>8.0</v>
      </c>
      <c r="C19" s="15">
        <v>8.0</v>
      </c>
      <c r="D19" s="15">
        <v>9.0</v>
      </c>
      <c r="E19" s="15">
        <v>7.0</v>
      </c>
      <c r="F19" s="15">
        <v>10.0</v>
      </c>
      <c r="G19" s="15">
        <v>9.0</v>
      </c>
      <c r="H19" s="15">
        <v>6.0</v>
      </c>
      <c r="I19" s="15">
        <v>6.0</v>
      </c>
      <c r="J19" s="15">
        <v>9.0</v>
      </c>
      <c r="K19" s="15">
        <v>8.0</v>
      </c>
      <c r="L19" s="36">
        <f t="shared" si="3"/>
        <v>80</v>
      </c>
    </row>
    <row r="20" ht="15.75" customHeight="1">
      <c r="A20" s="27" t="s">
        <v>42</v>
      </c>
      <c r="B20" s="15">
        <v>8.0</v>
      </c>
      <c r="C20" s="15">
        <v>7.0</v>
      </c>
      <c r="D20" s="15">
        <v>8.0</v>
      </c>
      <c r="E20" s="15">
        <v>8.0</v>
      </c>
      <c r="F20" s="15">
        <v>10.0</v>
      </c>
      <c r="G20" s="15">
        <v>9.0</v>
      </c>
      <c r="H20" s="15">
        <v>7.0</v>
      </c>
      <c r="I20" s="15">
        <v>6.0</v>
      </c>
      <c r="J20" s="15">
        <v>9.0</v>
      </c>
      <c r="K20" s="15">
        <v>6.0</v>
      </c>
      <c r="L20" s="36">
        <f t="shared" si="3"/>
        <v>78</v>
      </c>
    </row>
    <row r="21" ht="15.75" customHeight="1">
      <c r="A21" s="27" t="s">
        <v>43</v>
      </c>
      <c r="B21" s="15">
        <v>7.0</v>
      </c>
      <c r="C21" s="15">
        <v>7.0</v>
      </c>
      <c r="D21" s="15">
        <v>8.0</v>
      </c>
      <c r="E21" s="15">
        <v>8.0</v>
      </c>
      <c r="F21" s="15">
        <v>10.0</v>
      </c>
      <c r="G21" s="15">
        <v>9.0</v>
      </c>
      <c r="H21" s="15">
        <v>8.0</v>
      </c>
      <c r="I21" s="15">
        <v>10.0</v>
      </c>
      <c r="J21" s="15">
        <v>9.0</v>
      </c>
      <c r="K21" s="15">
        <v>7.0</v>
      </c>
      <c r="L21" s="36">
        <f t="shared" si="3"/>
        <v>83</v>
      </c>
    </row>
    <row r="22" ht="15.75" customHeight="1">
      <c r="A22" s="27" t="s">
        <v>44</v>
      </c>
      <c r="B22" s="15">
        <v>7.0</v>
      </c>
      <c r="C22" s="15">
        <v>7.0</v>
      </c>
      <c r="D22" s="15">
        <v>9.0</v>
      </c>
      <c r="E22" s="15">
        <v>9.0</v>
      </c>
      <c r="F22" s="15">
        <v>10.0</v>
      </c>
      <c r="G22" s="15">
        <v>9.0</v>
      </c>
      <c r="H22" s="15">
        <v>8.0</v>
      </c>
      <c r="I22" s="15">
        <v>7.0</v>
      </c>
      <c r="J22" s="15">
        <v>9.0</v>
      </c>
      <c r="K22" s="15">
        <v>7.0</v>
      </c>
      <c r="L22" s="36">
        <f t="shared" si="3"/>
        <v>82</v>
      </c>
    </row>
    <row r="23" ht="15.75" customHeight="1">
      <c r="A23" s="27" t="s">
        <v>45</v>
      </c>
      <c r="B23" s="15">
        <v>7.0</v>
      </c>
      <c r="C23" s="15">
        <v>6.0</v>
      </c>
      <c r="D23" s="15">
        <v>8.0</v>
      </c>
      <c r="E23" s="15">
        <v>8.0</v>
      </c>
      <c r="F23" s="15">
        <v>10.0</v>
      </c>
      <c r="G23" s="15">
        <v>9.0</v>
      </c>
      <c r="H23" s="15">
        <v>7.0</v>
      </c>
      <c r="I23" s="15">
        <v>5.0</v>
      </c>
      <c r="J23" s="15">
        <v>9.0</v>
      </c>
      <c r="K23" s="15">
        <v>3.0</v>
      </c>
      <c r="L23" s="36">
        <f t="shared" si="3"/>
        <v>72</v>
      </c>
    </row>
    <row r="24" ht="15.75" customHeight="1">
      <c r="A24" s="27" t="s">
        <v>46</v>
      </c>
      <c r="B24" s="15">
        <v>7.0</v>
      </c>
      <c r="C24" s="15">
        <v>7.0</v>
      </c>
      <c r="D24" s="15">
        <v>10.0</v>
      </c>
      <c r="E24" s="15">
        <v>10.0</v>
      </c>
      <c r="F24" s="15">
        <v>9.0</v>
      </c>
      <c r="G24" s="15">
        <v>9.0</v>
      </c>
      <c r="H24" s="15">
        <v>5.0</v>
      </c>
      <c r="I24" s="15">
        <v>8.0</v>
      </c>
      <c r="J24" s="15">
        <v>9.0</v>
      </c>
      <c r="K24" s="15">
        <v>8.0</v>
      </c>
      <c r="L24" s="36">
        <f t="shared" si="3"/>
        <v>82</v>
      </c>
    </row>
    <row r="25" ht="15.75" customHeight="1">
      <c r="A25" s="28" t="s">
        <v>47</v>
      </c>
      <c r="B25" s="21">
        <v>7.0</v>
      </c>
      <c r="C25" s="21">
        <v>7.0</v>
      </c>
      <c r="D25" s="21">
        <v>10.0</v>
      </c>
      <c r="E25" s="21">
        <v>10.0</v>
      </c>
      <c r="F25" s="21">
        <v>7.0</v>
      </c>
      <c r="G25" s="21">
        <v>9.0</v>
      </c>
      <c r="H25" s="21">
        <v>6.0</v>
      </c>
      <c r="I25" s="21">
        <v>6.0</v>
      </c>
      <c r="J25" s="21">
        <v>9.0</v>
      </c>
      <c r="K25" s="21">
        <v>8.0</v>
      </c>
      <c r="L25" s="33">
        <f t="shared" si="3"/>
        <v>79</v>
      </c>
    </row>
    <row r="26" ht="15.75" customHeight="1"/>
    <row r="27" ht="15.75" customHeight="1">
      <c r="A27" s="34" t="s">
        <v>52</v>
      </c>
    </row>
    <row r="28" ht="15.75" customHeight="1">
      <c r="A28" s="16" t="s">
        <v>20</v>
      </c>
      <c r="B28" s="17" t="s">
        <v>21</v>
      </c>
      <c r="C28" s="18"/>
      <c r="D28" s="18"/>
      <c r="E28" s="18"/>
      <c r="F28" s="18"/>
      <c r="G28" s="18"/>
      <c r="H28" s="18"/>
      <c r="I28" s="18"/>
      <c r="J28" s="18"/>
      <c r="K28" s="19"/>
    </row>
    <row r="29" ht="15.75" customHeight="1">
      <c r="A29" s="20"/>
      <c r="B29" s="21" t="s">
        <v>22</v>
      </c>
      <c r="C29" s="21" t="s">
        <v>23</v>
      </c>
      <c r="D29" s="21" t="s">
        <v>25</v>
      </c>
      <c r="E29" s="21" t="s">
        <v>26</v>
      </c>
      <c r="F29" s="21" t="s">
        <v>28</v>
      </c>
      <c r="G29" s="21" t="s">
        <v>29</v>
      </c>
      <c r="H29" s="21" t="s">
        <v>30</v>
      </c>
      <c r="I29" s="21" t="s">
        <v>31</v>
      </c>
      <c r="J29" s="21" t="s">
        <v>36</v>
      </c>
      <c r="K29" s="23" t="s">
        <v>39</v>
      </c>
    </row>
    <row r="30" ht="15.75" customHeight="1">
      <c r="A30" s="24" t="s">
        <v>40</v>
      </c>
      <c r="B30" s="15">
        <f t="shared" ref="B30:K30" si="4">B18/$L$18</f>
        <v>0.09756097561</v>
      </c>
      <c r="C30" s="15">
        <f t="shared" si="4"/>
        <v>0.09756097561</v>
      </c>
      <c r="D30" s="15">
        <f t="shared" si="4"/>
        <v>0.1097560976</v>
      </c>
      <c r="E30" s="15">
        <f t="shared" si="4"/>
        <v>0.1097560976</v>
      </c>
      <c r="F30" s="15">
        <f t="shared" si="4"/>
        <v>0.1219512195</v>
      </c>
      <c r="G30" s="15">
        <f t="shared" si="4"/>
        <v>0.1097560976</v>
      </c>
      <c r="H30" s="15">
        <f t="shared" si="4"/>
        <v>0.08536585366</v>
      </c>
      <c r="I30" s="15">
        <f t="shared" si="4"/>
        <v>0.08536585366</v>
      </c>
      <c r="J30" s="15">
        <f t="shared" si="4"/>
        <v>0.1219512195</v>
      </c>
      <c r="K30" s="26">
        <f t="shared" si="4"/>
        <v>0.06097560976</v>
      </c>
    </row>
    <row r="31" ht="15.75" customHeight="1">
      <c r="A31" s="27" t="s">
        <v>41</v>
      </c>
      <c r="B31" s="15">
        <f t="shared" ref="B31:K31" si="5">B19/$L$19</f>
        <v>0.1</v>
      </c>
      <c r="C31" s="15">
        <f t="shared" si="5"/>
        <v>0.1</v>
      </c>
      <c r="D31" s="15">
        <f t="shared" si="5"/>
        <v>0.1125</v>
      </c>
      <c r="E31" s="15">
        <f t="shared" si="5"/>
        <v>0.0875</v>
      </c>
      <c r="F31" s="15">
        <f t="shared" si="5"/>
        <v>0.125</v>
      </c>
      <c r="G31" s="15">
        <f t="shared" si="5"/>
        <v>0.1125</v>
      </c>
      <c r="H31" s="15">
        <f t="shared" si="5"/>
        <v>0.075</v>
      </c>
      <c r="I31" s="15">
        <f t="shared" si="5"/>
        <v>0.075</v>
      </c>
      <c r="J31" s="15">
        <f t="shared" si="5"/>
        <v>0.1125</v>
      </c>
      <c r="K31" s="26">
        <f t="shared" si="5"/>
        <v>0.1</v>
      </c>
    </row>
    <row r="32" ht="15.75" customHeight="1">
      <c r="A32" s="27" t="s">
        <v>42</v>
      </c>
      <c r="B32" s="15">
        <f t="shared" ref="B32:K32" si="6">B20/$L$20</f>
        <v>0.1025641026</v>
      </c>
      <c r="C32" s="15">
        <f t="shared" si="6"/>
        <v>0.08974358974</v>
      </c>
      <c r="D32" s="15">
        <f t="shared" si="6"/>
        <v>0.1025641026</v>
      </c>
      <c r="E32" s="15">
        <f t="shared" si="6"/>
        <v>0.1025641026</v>
      </c>
      <c r="F32" s="15">
        <f t="shared" si="6"/>
        <v>0.1282051282</v>
      </c>
      <c r="G32" s="15">
        <f t="shared" si="6"/>
        <v>0.1153846154</v>
      </c>
      <c r="H32" s="15">
        <f t="shared" si="6"/>
        <v>0.08974358974</v>
      </c>
      <c r="I32" s="15">
        <f t="shared" si="6"/>
        <v>0.07692307692</v>
      </c>
      <c r="J32" s="15">
        <f t="shared" si="6"/>
        <v>0.1153846154</v>
      </c>
      <c r="K32" s="26">
        <f t="shared" si="6"/>
        <v>0.07692307692</v>
      </c>
    </row>
    <row r="33" ht="15.75" customHeight="1">
      <c r="A33" s="27" t="s">
        <v>43</v>
      </c>
      <c r="B33" s="15">
        <f t="shared" ref="B33:K33" si="7">B21/$L$21</f>
        <v>0.0843373494</v>
      </c>
      <c r="C33" s="15">
        <f t="shared" si="7"/>
        <v>0.0843373494</v>
      </c>
      <c r="D33" s="15">
        <f t="shared" si="7"/>
        <v>0.09638554217</v>
      </c>
      <c r="E33" s="15">
        <f t="shared" si="7"/>
        <v>0.09638554217</v>
      </c>
      <c r="F33" s="15">
        <f t="shared" si="7"/>
        <v>0.1204819277</v>
      </c>
      <c r="G33" s="15">
        <f t="shared" si="7"/>
        <v>0.1084337349</v>
      </c>
      <c r="H33" s="15">
        <f t="shared" si="7"/>
        <v>0.09638554217</v>
      </c>
      <c r="I33" s="15">
        <f t="shared" si="7"/>
        <v>0.1204819277</v>
      </c>
      <c r="J33" s="15">
        <f t="shared" si="7"/>
        <v>0.1084337349</v>
      </c>
      <c r="K33" s="26">
        <f t="shared" si="7"/>
        <v>0.0843373494</v>
      </c>
    </row>
    <row r="34" ht="15.75" customHeight="1">
      <c r="A34" s="27" t="s">
        <v>44</v>
      </c>
      <c r="B34" s="15">
        <f t="shared" ref="B34:K34" si="8">B22/$L$22</f>
        <v>0.08536585366</v>
      </c>
      <c r="C34" s="15">
        <f t="shared" si="8"/>
        <v>0.08536585366</v>
      </c>
      <c r="D34" s="15">
        <f t="shared" si="8"/>
        <v>0.1097560976</v>
      </c>
      <c r="E34" s="15">
        <f t="shared" si="8"/>
        <v>0.1097560976</v>
      </c>
      <c r="F34" s="15">
        <f t="shared" si="8"/>
        <v>0.1219512195</v>
      </c>
      <c r="G34" s="15">
        <f t="shared" si="8"/>
        <v>0.1097560976</v>
      </c>
      <c r="H34" s="15">
        <f t="shared" si="8"/>
        <v>0.09756097561</v>
      </c>
      <c r="I34" s="15">
        <f t="shared" si="8"/>
        <v>0.08536585366</v>
      </c>
      <c r="J34" s="15">
        <f t="shared" si="8"/>
        <v>0.1097560976</v>
      </c>
      <c r="K34" s="26">
        <f t="shared" si="8"/>
        <v>0.08536585366</v>
      </c>
    </row>
    <row r="35" ht="15.75" customHeight="1">
      <c r="A35" s="27" t="s">
        <v>45</v>
      </c>
      <c r="B35" s="15">
        <f t="shared" ref="B35:K35" si="9">B23/$L$23</f>
        <v>0.09722222222</v>
      </c>
      <c r="C35" s="15">
        <f t="shared" si="9"/>
        <v>0.08333333333</v>
      </c>
      <c r="D35" s="15">
        <f t="shared" si="9"/>
        <v>0.1111111111</v>
      </c>
      <c r="E35" s="15">
        <f t="shared" si="9"/>
        <v>0.1111111111</v>
      </c>
      <c r="F35" s="15">
        <f t="shared" si="9"/>
        <v>0.1388888889</v>
      </c>
      <c r="G35" s="15">
        <f t="shared" si="9"/>
        <v>0.125</v>
      </c>
      <c r="H35" s="15">
        <f t="shared" si="9"/>
        <v>0.09722222222</v>
      </c>
      <c r="I35" s="15">
        <f t="shared" si="9"/>
        <v>0.06944444444</v>
      </c>
      <c r="J35" s="15">
        <f t="shared" si="9"/>
        <v>0.125</v>
      </c>
      <c r="K35" s="26">
        <f t="shared" si="9"/>
        <v>0.04166666667</v>
      </c>
    </row>
    <row r="36" ht="15.75" customHeight="1">
      <c r="A36" s="27" t="s">
        <v>46</v>
      </c>
      <c r="B36" s="15">
        <f t="shared" ref="B36:K36" si="10">B24/$L$24</f>
        <v>0.08536585366</v>
      </c>
      <c r="C36" s="15">
        <f t="shared" si="10"/>
        <v>0.08536585366</v>
      </c>
      <c r="D36" s="15">
        <f t="shared" si="10"/>
        <v>0.1219512195</v>
      </c>
      <c r="E36" s="15">
        <f t="shared" si="10"/>
        <v>0.1219512195</v>
      </c>
      <c r="F36" s="15">
        <f t="shared" si="10"/>
        <v>0.1097560976</v>
      </c>
      <c r="G36" s="15">
        <f t="shared" si="10"/>
        <v>0.1097560976</v>
      </c>
      <c r="H36" s="15">
        <f t="shared" si="10"/>
        <v>0.06097560976</v>
      </c>
      <c r="I36" s="15">
        <f t="shared" si="10"/>
        <v>0.09756097561</v>
      </c>
      <c r="J36" s="15">
        <f t="shared" si="10"/>
        <v>0.1097560976</v>
      </c>
      <c r="K36" s="26">
        <f t="shared" si="10"/>
        <v>0.09756097561</v>
      </c>
    </row>
    <row r="37" ht="15.75" customHeight="1">
      <c r="A37" s="28" t="s">
        <v>47</v>
      </c>
      <c r="B37" s="15">
        <f t="shared" ref="B37:K37" si="11">B25/$L$25</f>
        <v>0.08860759494</v>
      </c>
      <c r="C37" s="15">
        <f t="shared" si="11"/>
        <v>0.08860759494</v>
      </c>
      <c r="D37" s="15">
        <f t="shared" si="11"/>
        <v>0.1265822785</v>
      </c>
      <c r="E37" s="15">
        <f t="shared" si="11"/>
        <v>0.1265822785</v>
      </c>
      <c r="F37" s="15">
        <f t="shared" si="11"/>
        <v>0.08860759494</v>
      </c>
      <c r="G37" s="15">
        <f t="shared" si="11"/>
        <v>0.1139240506</v>
      </c>
      <c r="H37" s="15">
        <f t="shared" si="11"/>
        <v>0.07594936709</v>
      </c>
      <c r="I37" s="15">
        <f t="shared" si="11"/>
        <v>0.07594936709</v>
      </c>
      <c r="J37" s="15">
        <f t="shared" si="11"/>
        <v>0.1139240506</v>
      </c>
      <c r="K37" s="26">
        <f t="shared" si="11"/>
        <v>0.1012658228</v>
      </c>
    </row>
    <row r="38" ht="15.75" customHeight="1">
      <c r="A38" s="35" t="s">
        <v>48</v>
      </c>
      <c r="B38" s="37">
        <f t="shared" ref="B38:K38" si="12">SUM(B30:B37)</f>
        <v>0.741023952</v>
      </c>
      <c r="C38" s="37">
        <f t="shared" si="12"/>
        <v>0.7143145503</v>
      </c>
      <c r="D38" s="37">
        <f t="shared" si="12"/>
        <v>0.890606449</v>
      </c>
      <c r="E38" s="37">
        <f t="shared" si="12"/>
        <v>0.865606449</v>
      </c>
      <c r="F38" s="37">
        <f t="shared" si="12"/>
        <v>0.9548420763</v>
      </c>
      <c r="G38" s="37">
        <f t="shared" si="12"/>
        <v>0.9045106936</v>
      </c>
      <c r="H38" s="37">
        <f t="shared" si="12"/>
        <v>0.6782031602</v>
      </c>
      <c r="I38" s="37">
        <f t="shared" si="12"/>
        <v>0.6860914991</v>
      </c>
      <c r="J38" s="37">
        <f t="shared" si="12"/>
        <v>0.9167058156</v>
      </c>
      <c r="K38" s="39">
        <f t="shared" si="12"/>
        <v>0.6480953548</v>
      </c>
    </row>
    <row r="39" ht="15.75" customHeight="1">
      <c r="A39" s="29" t="s">
        <v>49</v>
      </c>
      <c r="B39" s="30">
        <f t="shared" ref="B39:K39" si="13">B38/SUM($B$38:$K$38)</f>
        <v>0.09262799401</v>
      </c>
      <c r="C39" s="30">
        <f t="shared" si="13"/>
        <v>0.08928931879</v>
      </c>
      <c r="D39" s="30">
        <f t="shared" si="13"/>
        <v>0.1113258061</v>
      </c>
      <c r="E39" s="30">
        <f t="shared" si="13"/>
        <v>0.1082008061</v>
      </c>
      <c r="F39" s="30">
        <f t="shared" si="13"/>
        <v>0.1193552595</v>
      </c>
      <c r="G39" s="30">
        <f t="shared" si="13"/>
        <v>0.1130638367</v>
      </c>
      <c r="H39" s="30">
        <f t="shared" si="13"/>
        <v>0.08477539503</v>
      </c>
      <c r="I39" s="30">
        <f t="shared" si="13"/>
        <v>0.08576143739</v>
      </c>
      <c r="J39" s="30">
        <f t="shared" si="13"/>
        <v>0.1145882269</v>
      </c>
      <c r="K39" s="30">
        <f t="shared" si="13"/>
        <v>0.08101191935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3"/>
    <mergeCell ref="B2:K2"/>
    <mergeCell ref="A16:A17"/>
    <mergeCell ref="B16:K16"/>
    <mergeCell ref="L16:L17"/>
    <mergeCell ref="A28:A29"/>
    <mergeCell ref="B28:K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5.63"/>
    <col customWidth="1" min="3" max="3" width="15.38"/>
    <col customWidth="1" min="4" max="4" width="4.38"/>
    <col customWidth="1" min="5" max="6" width="7.25"/>
  </cols>
  <sheetData>
    <row r="1" ht="15.75" customHeight="1">
      <c r="G1" s="15" t="s">
        <v>53</v>
      </c>
      <c r="I1" s="15" t="s">
        <v>53</v>
      </c>
      <c r="K1" s="15" t="s">
        <v>53</v>
      </c>
      <c r="M1" s="15" t="s">
        <v>53</v>
      </c>
      <c r="N1" s="15" t="s">
        <v>53</v>
      </c>
    </row>
    <row r="2" ht="15.75" customHeight="1">
      <c r="A2" s="40" t="s">
        <v>54</v>
      </c>
      <c r="B2" s="16" t="s">
        <v>55</v>
      </c>
      <c r="C2" s="41" t="s">
        <v>21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  <c r="Q2" s="35" t="s">
        <v>22</v>
      </c>
      <c r="R2" s="42" t="s">
        <v>1</v>
      </c>
      <c r="S2" s="2"/>
      <c r="T2" s="2"/>
      <c r="U2" s="3"/>
    </row>
    <row r="3" ht="15.75" customHeight="1">
      <c r="A3" s="4"/>
      <c r="B3" s="20"/>
      <c r="C3" s="43" t="s">
        <v>1</v>
      </c>
      <c r="D3" s="18"/>
      <c r="E3" s="44" t="s">
        <v>56</v>
      </c>
      <c r="F3" s="18"/>
      <c r="G3" s="44" t="s">
        <v>57</v>
      </c>
      <c r="H3" s="44" t="s">
        <v>58</v>
      </c>
      <c r="I3" s="44" t="s">
        <v>59</v>
      </c>
      <c r="J3" s="44" t="s">
        <v>60</v>
      </c>
      <c r="K3" s="44" t="s">
        <v>61</v>
      </c>
      <c r="L3" s="44" t="s">
        <v>62</v>
      </c>
      <c r="M3" s="44" t="s">
        <v>63</v>
      </c>
      <c r="N3" s="45" t="s">
        <v>64</v>
      </c>
      <c r="Q3" s="36" t="s">
        <v>23</v>
      </c>
      <c r="R3" s="11" t="s">
        <v>2</v>
      </c>
      <c r="U3" s="9"/>
    </row>
    <row r="4" ht="15.75" customHeight="1">
      <c r="A4" s="24" t="s">
        <v>40</v>
      </c>
      <c r="B4" s="36" t="s">
        <v>65</v>
      </c>
      <c r="C4" s="46" t="s">
        <v>66</v>
      </c>
      <c r="D4" s="15">
        <v>1.0</v>
      </c>
      <c r="E4" s="15">
        <v>1920.0</v>
      </c>
      <c r="F4" s="15">
        <v>1200.0</v>
      </c>
      <c r="G4" s="15">
        <v>12.0</v>
      </c>
      <c r="H4" s="15">
        <v>4.7</v>
      </c>
      <c r="I4" s="15">
        <v>52793.0</v>
      </c>
      <c r="J4" s="15">
        <v>16.0</v>
      </c>
      <c r="K4" s="15">
        <v>16.0</v>
      </c>
      <c r="L4" s="15">
        <v>60.0</v>
      </c>
      <c r="M4" s="15">
        <v>512.0</v>
      </c>
      <c r="N4" s="26">
        <v>0.0</v>
      </c>
      <c r="O4" s="47" t="s">
        <v>67</v>
      </c>
      <c r="Q4" s="36" t="s">
        <v>25</v>
      </c>
      <c r="R4" s="11" t="s">
        <v>4</v>
      </c>
      <c r="U4" s="9"/>
    </row>
    <row r="5" ht="15.75" customHeight="1">
      <c r="A5" s="27" t="s">
        <v>41</v>
      </c>
      <c r="B5" s="48" t="s">
        <v>68</v>
      </c>
      <c r="C5" s="46" t="s">
        <v>66</v>
      </c>
      <c r="D5" s="15">
        <f>1</f>
        <v>1</v>
      </c>
      <c r="E5" s="15">
        <v>1920.0</v>
      </c>
      <c r="F5" s="15">
        <v>1080.0</v>
      </c>
      <c r="G5" s="15">
        <v>8.0</v>
      </c>
      <c r="H5" s="15">
        <v>1.8</v>
      </c>
      <c r="I5" s="15">
        <v>46299.0</v>
      </c>
      <c r="J5" s="15">
        <v>16.0</v>
      </c>
      <c r="K5" s="15">
        <v>14.0</v>
      </c>
      <c r="L5" s="15">
        <v>56.0</v>
      </c>
      <c r="M5" s="15">
        <v>512.0</v>
      </c>
      <c r="N5" s="26">
        <v>0.0</v>
      </c>
      <c r="O5" s="47" t="s">
        <v>69</v>
      </c>
      <c r="Q5" s="36" t="s">
        <v>26</v>
      </c>
      <c r="R5" s="11" t="s">
        <v>5</v>
      </c>
      <c r="U5" s="9"/>
    </row>
    <row r="6" ht="15.75" customHeight="1">
      <c r="A6" s="27" t="s">
        <v>42</v>
      </c>
      <c r="B6" s="36" t="s">
        <v>70</v>
      </c>
      <c r="C6" s="46" t="s">
        <v>66</v>
      </c>
      <c r="D6" s="15">
        <v>1.0</v>
      </c>
      <c r="E6" s="15">
        <v>2560.0</v>
      </c>
      <c r="F6" s="15">
        <v>1600.0</v>
      </c>
      <c r="G6" s="15">
        <v>12.0</v>
      </c>
      <c r="H6" s="15">
        <v>4.5</v>
      </c>
      <c r="I6" s="49">
        <v>79999.0</v>
      </c>
      <c r="J6" s="15">
        <v>16.0</v>
      </c>
      <c r="K6" s="15">
        <v>14.0</v>
      </c>
      <c r="L6" s="15">
        <v>75.0</v>
      </c>
      <c r="M6" s="15">
        <v>512.0</v>
      </c>
      <c r="N6" s="26">
        <v>0.0</v>
      </c>
      <c r="O6" s="47" t="s">
        <v>71</v>
      </c>
      <c r="Q6" s="36" t="s">
        <v>28</v>
      </c>
      <c r="R6" s="11" t="s">
        <v>7</v>
      </c>
      <c r="U6" s="9"/>
    </row>
    <row r="7" ht="15.75" customHeight="1">
      <c r="A7" s="27" t="s">
        <v>43</v>
      </c>
      <c r="B7" s="36" t="s">
        <v>72</v>
      </c>
      <c r="C7" s="46" t="s">
        <v>66</v>
      </c>
      <c r="D7" s="15">
        <v>1.0</v>
      </c>
      <c r="E7" s="15">
        <v>1920.0</v>
      </c>
      <c r="F7" s="15">
        <v>1200.0</v>
      </c>
      <c r="G7" s="15">
        <v>6.0</v>
      </c>
      <c r="H7" s="15">
        <v>2.0</v>
      </c>
      <c r="I7" s="15">
        <v>42999.0</v>
      </c>
      <c r="J7" s="15">
        <v>16.0</v>
      </c>
      <c r="K7" s="15">
        <v>16.0</v>
      </c>
      <c r="L7" s="15">
        <v>70.0</v>
      </c>
      <c r="M7" s="15">
        <v>512.0</v>
      </c>
      <c r="N7" s="26">
        <v>0.0</v>
      </c>
      <c r="O7" s="47" t="s">
        <v>73</v>
      </c>
      <c r="Q7" s="36" t="s">
        <v>29</v>
      </c>
      <c r="R7" s="11" t="s">
        <v>8</v>
      </c>
      <c r="U7" s="9"/>
    </row>
    <row r="8" ht="15.75" customHeight="1">
      <c r="A8" s="27" t="s">
        <v>44</v>
      </c>
      <c r="B8" s="36" t="s">
        <v>74</v>
      </c>
      <c r="C8" s="46" t="s">
        <v>66</v>
      </c>
      <c r="D8" s="15">
        <v>1.0</v>
      </c>
      <c r="E8" s="15">
        <v>1920.0</v>
      </c>
      <c r="F8" s="15">
        <v>1080.0</v>
      </c>
      <c r="G8" s="15">
        <v>12.0</v>
      </c>
      <c r="H8" s="15">
        <v>4.5</v>
      </c>
      <c r="I8" s="15">
        <v>67878.0</v>
      </c>
      <c r="J8" s="15">
        <v>16.0</v>
      </c>
      <c r="K8" s="15">
        <v>15.6</v>
      </c>
      <c r="L8" s="15">
        <v>56.0</v>
      </c>
      <c r="M8" s="15">
        <v>512.0</v>
      </c>
      <c r="N8" s="26">
        <v>0.0</v>
      </c>
      <c r="O8" s="47" t="s">
        <v>75</v>
      </c>
      <c r="Q8" s="36" t="s">
        <v>30</v>
      </c>
      <c r="R8" s="11" t="s">
        <v>9</v>
      </c>
      <c r="U8" s="9"/>
    </row>
    <row r="9" ht="15.75" customHeight="1">
      <c r="A9" s="27" t="s">
        <v>45</v>
      </c>
      <c r="B9" s="36" t="s">
        <v>76</v>
      </c>
      <c r="C9" s="46" t="s">
        <v>66</v>
      </c>
      <c r="D9" s="15">
        <v>1.0</v>
      </c>
      <c r="E9" s="15">
        <v>1920.0</v>
      </c>
      <c r="F9" s="15">
        <v>1080.0</v>
      </c>
      <c r="G9" s="15">
        <v>8.0</v>
      </c>
      <c r="H9" s="15">
        <v>2.0</v>
      </c>
      <c r="I9" s="15">
        <v>40990.0</v>
      </c>
      <c r="J9" s="15">
        <v>16.0</v>
      </c>
      <c r="K9" s="15">
        <v>14.0</v>
      </c>
      <c r="L9" s="15">
        <v>56.0</v>
      </c>
      <c r="M9" s="15">
        <v>512.0</v>
      </c>
      <c r="N9" s="26">
        <v>0.0</v>
      </c>
      <c r="O9" s="47" t="s">
        <v>77</v>
      </c>
      <c r="Q9" s="36" t="s">
        <v>31</v>
      </c>
      <c r="R9" s="11" t="s">
        <v>10</v>
      </c>
      <c r="U9" s="9"/>
    </row>
    <row r="10" ht="15.75" customHeight="1">
      <c r="A10" s="27" t="s">
        <v>46</v>
      </c>
      <c r="B10" s="36" t="s">
        <v>78</v>
      </c>
      <c r="C10" s="46" t="s">
        <v>66</v>
      </c>
      <c r="D10" s="15">
        <v>1.0</v>
      </c>
      <c r="E10" s="15">
        <v>1920.0</v>
      </c>
      <c r="F10" s="15">
        <v>1080.0</v>
      </c>
      <c r="G10" s="15">
        <v>10.0</v>
      </c>
      <c r="H10" s="15">
        <v>4.6</v>
      </c>
      <c r="I10" s="15">
        <v>48999.0</v>
      </c>
      <c r="J10" s="15">
        <v>16.0</v>
      </c>
      <c r="K10" s="15">
        <v>15.6</v>
      </c>
      <c r="L10" s="15">
        <v>39.0</v>
      </c>
      <c r="M10" s="15">
        <v>512.0</v>
      </c>
      <c r="N10" s="26">
        <v>0.0</v>
      </c>
      <c r="O10" s="47" t="s">
        <v>79</v>
      </c>
      <c r="Q10" s="36" t="s">
        <v>36</v>
      </c>
      <c r="R10" s="11" t="s">
        <v>15</v>
      </c>
      <c r="U10" s="9"/>
    </row>
    <row r="11" ht="15.75" customHeight="1">
      <c r="A11" s="28" t="s">
        <v>47</v>
      </c>
      <c r="B11" s="50" t="s">
        <v>80</v>
      </c>
      <c r="C11" s="51" t="s">
        <v>66</v>
      </c>
      <c r="D11" s="49">
        <v>1.0</v>
      </c>
      <c r="E11" s="49">
        <v>1920.0</v>
      </c>
      <c r="F11" s="49">
        <v>1080.0</v>
      </c>
      <c r="G11" s="49">
        <v>10.0</v>
      </c>
      <c r="H11" s="49">
        <v>4.7</v>
      </c>
      <c r="I11" s="49">
        <v>70000.0</v>
      </c>
      <c r="J11" s="49">
        <v>16.0</v>
      </c>
      <c r="K11" s="49">
        <v>15.6</v>
      </c>
      <c r="L11" s="49">
        <v>50.0</v>
      </c>
      <c r="M11" s="49">
        <v>512.0</v>
      </c>
      <c r="N11" s="52">
        <v>0.0</v>
      </c>
      <c r="O11" s="47" t="s">
        <v>81</v>
      </c>
      <c r="Q11" s="33" t="s">
        <v>39</v>
      </c>
      <c r="R11" s="13" t="s">
        <v>18</v>
      </c>
      <c r="S11" s="5"/>
      <c r="T11" s="5"/>
      <c r="U11" s="6"/>
    </row>
    <row r="12" ht="15.75" customHeight="1">
      <c r="A12" s="53" t="s">
        <v>82</v>
      </c>
      <c r="B12" s="3"/>
      <c r="C12" s="54" t="str">
        <f t="shared" ref="C12:C13" si="2">C10</f>
        <v>IPS</v>
      </c>
      <c r="D12" s="37">
        <f t="shared" ref="D12:N12" si="1">MAX(D4:D11)</f>
        <v>1</v>
      </c>
      <c r="E12" s="37">
        <f t="shared" si="1"/>
        <v>2560</v>
      </c>
      <c r="F12" s="37">
        <f t="shared" si="1"/>
        <v>1600</v>
      </c>
      <c r="G12" s="37">
        <f t="shared" si="1"/>
        <v>12</v>
      </c>
      <c r="H12" s="37">
        <f t="shared" si="1"/>
        <v>4.7</v>
      </c>
      <c r="I12" s="37">
        <f t="shared" si="1"/>
        <v>79999</v>
      </c>
      <c r="J12" s="37">
        <f t="shared" si="1"/>
        <v>16</v>
      </c>
      <c r="K12" s="37">
        <f t="shared" si="1"/>
        <v>16</v>
      </c>
      <c r="L12" s="37">
        <f t="shared" si="1"/>
        <v>75</v>
      </c>
      <c r="M12" s="37">
        <f t="shared" si="1"/>
        <v>512</v>
      </c>
      <c r="N12" s="39">
        <f t="shared" si="1"/>
        <v>0</v>
      </c>
      <c r="R12" s="55"/>
      <c r="S12" s="55"/>
      <c r="T12" s="55"/>
      <c r="U12" s="55"/>
    </row>
    <row r="13" ht="15.75" customHeight="1">
      <c r="A13" s="56" t="s">
        <v>83</v>
      </c>
      <c r="B13" s="6"/>
      <c r="C13" s="57" t="str">
        <f t="shared" si="2"/>
        <v>IPS</v>
      </c>
      <c r="D13" s="21">
        <f t="shared" ref="D13:N13" si="3">IF(MIN(D4:D11)=D12,0,MIN(D4:D11))</f>
        <v>0</v>
      </c>
      <c r="E13" s="21">
        <f t="shared" si="3"/>
        <v>1920</v>
      </c>
      <c r="F13" s="21">
        <f t="shared" si="3"/>
        <v>1080</v>
      </c>
      <c r="G13" s="21">
        <f t="shared" si="3"/>
        <v>6</v>
      </c>
      <c r="H13" s="21">
        <f t="shared" si="3"/>
        <v>1.8</v>
      </c>
      <c r="I13" s="21">
        <f t="shared" si="3"/>
        <v>40990</v>
      </c>
      <c r="J13" s="21">
        <f t="shared" si="3"/>
        <v>0</v>
      </c>
      <c r="K13" s="21">
        <f t="shared" si="3"/>
        <v>14</v>
      </c>
      <c r="L13" s="21">
        <f t="shared" si="3"/>
        <v>39</v>
      </c>
      <c r="M13" s="21">
        <f t="shared" si="3"/>
        <v>0</v>
      </c>
      <c r="N13" s="21">
        <f t="shared" si="3"/>
        <v>0</v>
      </c>
      <c r="R13" s="55"/>
      <c r="S13" s="55"/>
      <c r="T13" s="55"/>
      <c r="U13" s="55"/>
    </row>
    <row r="14" ht="15.75" customHeight="1"/>
    <row r="15" ht="15.75" customHeight="1">
      <c r="A15" s="40" t="s">
        <v>54</v>
      </c>
      <c r="B15" s="16" t="s">
        <v>55</v>
      </c>
      <c r="C15" s="41" t="s">
        <v>84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15.75" customHeight="1">
      <c r="A16" s="4"/>
      <c r="B16" s="20"/>
      <c r="C16" s="43" t="s">
        <v>1</v>
      </c>
      <c r="D16" s="18"/>
      <c r="E16" s="44" t="s">
        <v>56</v>
      </c>
      <c r="F16" s="18"/>
      <c r="G16" s="44" t="s">
        <v>57</v>
      </c>
      <c r="H16" s="44" t="s">
        <v>58</v>
      </c>
      <c r="I16" s="44" t="s">
        <v>59</v>
      </c>
      <c r="J16" s="44" t="s">
        <v>60</v>
      </c>
      <c r="K16" s="44" t="s">
        <v>61</v>
      </c>
      <c r="L16" s="44" t="s">
        <v>62</v>
      </c>
      <c r="M16" s="44" t="s">
        <v>63</v>
      </c>
      <c r="N16" s="45" t="s">
        <v>64</v>
      </c>
    </row>
    <row r="17" ht="15.75" customHeight="1">
      <c r="A17" s="24" t="s">
        <v>40</v>
      </c>
      <c r="B17" s="36" t="str">
        <f t="shared" ref="B17:C17" si="4">B4</f>
        <v>HONOR MagicBook x16 pro</v>
      </c>
      <c r="C17" s="46" t="str">
        <f t="shared" si="4"/>
        <v>IPS</v>
      </c>
      <c r="D17" s="15">
        <f t="shared" ref="D17:D24" si="6">(D4-$D$13)/($D$12-$D$13)</f>
        <v>1</v>
      </c>
      <c r="F17" s="15">
        <f t="shared" ref="F17:F24" si="7">(F4-$F$13)/($F$12-$F$13)</f>
        <v>0.2307692308</v>
      </c>
      <c r="G17" s="15">
        <f t="shared" ref="G17:G24" si="8">1-(G4-$G$13)/($G$12-$G$13)</f>
        <v>0</v>
      </c>
      <c r="H17" s="15">
        <f t="shared" ref="H17:H24" si="9">(H4-$H$13)/($H$12-$H$13)</f>
        <v>1</v>
      </c>
      <c r="I17" s="15">
        <f t="shared" ref="I17:I24" si="10">1-(I4-$I$13)/($I$12-$I$13)</f>
        <v>0.6974287985</v>
      </c>
      <c r="J17" s="15">
        <f t="shared" ref="J17:J24" si="11">(J4-$J$13)/($J$12-$J$13)</f>
        <v>1</v>
      </c>
      <c r="K17" s="15">
        <f t="shared" ref="K17:K24" si="12">1-(K4-$K$13)/($K$12-$K$13)</f>
        <v>0</v>
      </c>
      <c r="L17" s="15">
        <f t="shared" ref="L17:L24" si="13">(L4-$L$13)/($L$12-$L$13)</f>
        <v>0.5833333333</v>
      </c>
      <c r="M17" s="15">
        <f t="shared" ref="M17:M24" si="14">1-(M4-$M$13)/($M$12-$M$13)</f>
        <v>0</v>
      </c>
      <c r="N17" s="15">
        <v>0.0</v>
      </c>
      <c r="O17" s="15">
        <f t="shared" ref="O17:O22" si="15">D17*$C$25+F17*$E$25+E17*$E$25+G17*$G$25+H17*$H$25+I17*$I$25+J17*$J$25+K17*$K$25+L17*$L$25+M17*$M$25+N17*$N$25</f>
        <v>0.4964498712</v>
      </c>
    </row>
    <row r="18" ht="15.75" customHeight="1">
      <c r="A18" s="27" t="s">
        <v>41</v>
      </c>
      <c r="B18" s="36" t="str">
        <f t="shared" ref="B18:C18" si="5">B5</f>
        <v>HONOR MagicBook 14 </v>
      </c>
      <c r="C18" s="46" t="str">
        <f t="shared" si="5"/>
        <v>IPS</v>
      </c>
      <c r="D18" s="15">
        <f t="shared" si="6"/>
        <v>1</v>
      </c>
      <c r="F18" s="15">
        <f t="shared" si="7"/>
        <v>0</v>
      </c>
      <c r="G18" s="15">
        <f t="shared" si="8"/>
        <v>0.6666666667</v>
      </c>
      <c r="H18" s="15">
        <f t="shared" si="9"/>
        <v>0</v>
      </c>
      <c r="I18" s="15">
        <f t="shared" si="10"/>
        <v>0.8639032018</v>
      </c>
      <c r="J18" s="15">
        <f t="shared" si="11"/>
        <v>1</v>
      </c>
      <c r="K18" s="15">
        <f t="shared" si="12"/>
        <v>1</v>
      </c>
      <c r="L18" s="15">
        <f t="shared" si="13"/>
        <v>0.4722222222</v>
      </c>
      <c r="M18" s="15">
        <f t="shared" si="14"/>
        <v>0</v>
      </c>
      <c r="N18" s="15">
        <v>0.0</v>
      </c>
      <c r="O18" s="15">
        <f t="shared" si="15"/>
        <v>0.5389102029</v>
      </c>
    </row>
    <row r="19" ht="15.75" customHeight="1">
      <c r="A19" s="27" t="s">
        <v>42</v>
      </c>
      <c r="B19" s="36" t="str">
        <f t="shared" ref="B19:C19" si="16">B6</f>
        <v>Ноутбук ASUS ZenBook 14</v>
      </c>
      <c r="C19" s="46" t="str">
        <f t="shared" si="16"/>
        <v>IPS</v>
      </c>
      <c r="D19" s="15">
        <f t="shared" si="6"/>
        <v>1</v>
      </c>
      <c r="F19" s="15">
        <f t="shared" si="7"/>
        <v>1</v>
      </c>
      <c r="G19" s="15">
        <f t="shared" si="8"/>
        <v>0</v>
      </c>
      <c r="H19" s="15">
        <f t="shared" si="9"/>
        <v>0.9310344828</v>
      </c>
      <c r="I19" s="15">
        <f t="shared" si="10"/>
        <v>0</v>
      </c>
      <c r="J19" s="15">
        <f t="shared" si="11"/>
        <v>1</v>
      </c>
      <c r="K19" s="15">
        <f t="shared" si="12"/>
        <v>1</v>
      </c>
      <c r="L19" s="15">
        <f t="shared" si="13"/>
        <v>1</v>
      </c>
      <c r="M19" s="15">
        <f t="shared" si="14"/>
        <v>0</v>
      </c>
      <c r="N19" s="15">
        <v>0.0</v>
      </c>
      <c r="O19" s="15">
        <f t="shared" si="15"/>
        <v>0.5054858934</v>
      </c>
    </row>
    <row r="20" ht="15.75" customHeight="1">
      <c r="A20" s="27" t="s">
        <v>43</v>
      </c>
      <c r="B20" s="36" t="str">
        <f t="shared" ref="B20:C20" si="17">B7</f>
        <v>Infinix InBook Y3 MAX</v>
      </c>
      <c r="C20" s="46" t="str">
        <f t="shared" si="17"/>
        <v>IPS</v>
      </c>
      <c r="D20" s="15">
        <f t="shared" si="6"/>
        <v>1</v>
      </c>
      <c r="F20" s="15">
        <f t="shared" si="7"/>
        <v>0.2307692308</v>
      </c>
      <c r="G20" s="15">
        <f t="shared" si="8"/>
        <v>1</v>
      </c>
      <c r="H20" s="15">
        <f t="shared" si="9"/>
        <v>0.06896551724</v>
      </c>
      <c r="I20" s="15">
        <f t="shared" si="10"/>
        <v>0.9484990643</v>
      </c>
      <c r="J20" s="15">
        <f t="shared" si="11"/>
        <v>1</v>
      </c>
      <c r="K20" s="15">
        <f t="shared" si="12"/>
        <v>0</v>
      </c>
      <c r="L20" s="15">
        <f t="shared" si="13"/>
        <v>0.8611111111</v>
      </c>
      <c r="M20" s="15">
        <f t="shared" si="14"/>
        <v>0</v>
      </c>
      <c r="N20" s="15">
        <v>0.0</v>
      </c>
      <c r="O20" s="15">
        <f t="shared" si="15"/>
        <v>0.5805986153</v>
      </c>
    </row>
    <row r="21" ht="15.75" customHeight="1">
      <c r="A21" s="27" t="s">
        <v>44</v>
      </c>
      <c r="B21" s="36" t="str">
        <f t="shared" ref="B21:C21" si="18">B8</f>
        <v>ASUS TUF Gaming F15 FX507</v>
      </c>
      <c r="C21" s="46" t="str">
        <f t="shared" si="18"/>
        <v>IPS</v>
      </c>
      <c r="D21" s="15">
        <f t="shared" si="6"/>
        <v>1</v>
      </c>
      <c r="F21" s="15">
        <f t="shared" si="7"/>
        <v>0</v>
      </c>
      <c r="G21" s="15">
        <f t="shared" si="8"/>
        <v>0</v>
      </c>
      <c r="H21" s="15">
        <f t="shared" si="9"/>
        <v>0.9310344828</v>
      </c>
      <c r="I21" s="15">
        <f t="shared" si="10"/>
        <v>0.3107231664</v>
      </c>
      <c r="J21" s="15">
        <f t="shared" si="11"/>
        <v>1</v>
      </c>
      <c r="K21" s="15">
        <f t="shared" si="12"/>
        <v>0.2</v>
      </c>
      <c r="L21" s="15">
        <f t="shared" si="13"/>
        <v>0.4722222222</v>
      </c>
      <c r="M21" s="15">
        <f t="shared" si="14"/>
        <v>0</v>
      </c>
      <c r="N21" s="15">
        <v>0.0</v>
      </c>
      <c r="O21" s="15">
        <f t="shared" si="15"/>
        <v>0.4156488026</v>
      </c>
    </row>
    <row r="22" ht="15.75" customHeight="1">
      <c r="A22" s="27" t="s">
        <v>45</v>
      </c>
      <c r="B22" s="36" t="str">
        <f t="shared" ref="B22:C22" si="19">B9</f>
        <v>Huawei MateBook D14</v>
      </c>
      <c r="C22" s="46" t="str">
        <f t="shared" si="19"/>
        <v>IPS</v>
      </c>
      <c r="D22" s="15">
        <f t="shared" si="6"/>
        <v>1</v>
      </c>
      <c r="F22" s="15">
        <f t="shared" si="7"/>
        <v>0</v>
      </c>
      <c r="G22" s="15">
        <f t="shared" si="8"/>
        <v>0.6666666667</v>
      </c>
      <c r="H22" s="15">
        <f t="shared" si="9"/>
        <v>0.06896551724</v>
      </c>
      <c r="I22" s="15">
        <f t="shared" si="10"/>
        <v>1</v>
      </c>
      <c r="J22" s="15">
        <f t="shared" si="11"/>
        <v>1</v>
      </c>
      <c r="K22" s="15">
        <f t="shared" si="12"/>
        <v>1</v>
      </c>
      <c r="L22" s="15">
        <f t="shared" si="13"/>
        <v>0.4722222222</v>
      </c>
      <c r="M22" s="15">
        <f t="shared" si="14"/>
        <v>0</v>
      </c>
      <c r="N22" s="15">
        <v>0.0</v>
      </c>
      <c r="O22" s="15">
        <f t="shared" si="15"/>
        <v>0.5696403692</v>
      </c>
    </row>
    <row r="23" ht="15.75" customHeight="1">
      <c r="A23" s="27" t="s">
        <v>46</v>
      </c>
      <c r="B23" s="36" t="str">
        <f t="shared" ref="B23:C23" si="20">B10</f>
        <v>MSI Modern 15</v>
      </c>
      <c r="C23" s="46" t="str">
        <f t="shared" si="20"/>
        <v>IPS</v>
      </c>
      <c r="D23" s="15">
        <f t="shared" si="6"/>
        <v>1</v>
      </c>
      <c r="F23" s="15">
        <f t="shared" si="7"/>
        <v>0</v>
      </c>
      <c r="G23" s="15">
        <f t="shared" si="8"/>
        <v>0.3333333333</v>
      </c>
      <c r="H23" s="15">
        <f t="shared" si="9"/>
        <v>0.9655172414</v>
      </c>
      <c r="I23" s="15">
        <f t="shared" si="10"/>
        <v>0.7946884052</v>
      </c>
      <c r="J23" s="15">
        <f t="shared" si="11"/>
        <v>1</v>
      </c>
      <c r="K23" s="15">
        <f t="shared" si="12"/>
        <v>0.2</v>
      </c>
      <c r="L23" s="15">
        <f t="shared" si="13"/>
        <v>0</v>
      </c>
      <c r="M23" s="15">
        <f t="shared" si="14"/>
        <v>0</v>
      </c>
      <c r="N23" s="15">
        <v>0.0</v>
      </c>
      <c r="O23" s="15">
        <f t="shared" ref="O23:O24" si="22">D23*$C$25+E23*$E$25+F23*$E$25+G23*$G$25+H23*$H$25+I23*$I$25+J23*$J$25+K23*$K$25+L23*$L$25+M23*$M$25+N23*$N$25</f>
        <v>0.5226192806</v>
      </c>
    </row>
    <row r="24" ht="15.75" customHeight="1">
      <c r="A24" s="28" t="s">
        <v>47</v>
      </c>
      <c r="B24" s="36" t="str">
        <f t="shared" ref="B24:C24" si="21">B11</f>
        <v>Acer Aspire 5</v>
      </c>
      <c r="C24" s="46" t="str">
        <f t="shared" si="21"/>
        <v>IPS</v>
      </c>
      <c r="D24" s="15">
        <f t="shared" si="6"/>
        <v>1</v>
      </c>
      <c r="F24" s="15">
        <f t="shared" si="7"/>
        <v>0</v>
      </c>
      <c r="G24" s="15">
        <f t="shared" si="8"/>
        <v>0.3333333333</v>
      </c>
      <c r="H24" s="15">
        <f t="shared" si="9"/>
        <v>1</v>
      </c>
      <c r="I24" s="15">
        <f t="shared" si="10"/>
        <v>0.2563254634</v>
      </c>
      <c r="J24" s="15">
        <f t="shared" si="11"/>
        <v>1</v>
      </c>
      <c r="K24" s="15">
        <f t="shared" si="12"/>
        <v>0.2</v>
      </c>
      <c r="L24" s="15">
        <f t="shared" si="13"/>
        <v>0.3055555556</v>
      </c>
      <c r="M24" s="15">
        <f t="shared" si="14"/>
        <v>0</v>
      </c>
      <c r="N24" s="15">
        <v>0.0</v>
      </c>
      <c r="O24" s="15">
        <f t="shared" si="22"/>
        <v>0.4526529872</v>
      </c>
    </row>
    <row r="25" ht="15.75" customHeight="1">
      <c r="A25" s="17" t="s">
        <v>85</v>
      </c>
      <c r="B25" s="19"/>
      <c r="C25" s="30">
        <f>'веса критериев'!B13</f>
        <v>0.06818181818</v>
      </c>
      <c r="D25" s="18"/>
      <c r="E25" s="30">
        <f>'веса критериев'!C13</f>
        <v>0.06590909091</v>
      </c>
      <c r="F25" s="18"/>
      <c r="G25" s="30">
        <f>'веса критериев'!D13</f>
        <v>0.1386363636</v>
      </c>
      <c r="H25" s="30">
        <f>'веса критериев'!E13</f>
        <v>0.1181818182</v>
      </c>
      <c r="I25" s="30">
        <f>'веса критериев'!F13</f>
        <v>0.1659090909</v>
      </c>
      <c r="J25" s="30">
        <f>'веса критериев'!G13</f>
        <v>0.15</v>
      </c>
      <c r="K25" s="30">
        <f>'веса критериев'!H13</f>
        <v>0.06136363636</v>
      </c>
      <c r="L25" s="30">
        <f>'веса критериев'!I13</f>
        <v>0.05</v>
      </c>
      <c r="M25" s="30">
        <f>'веса критериев'!J13</f>
        <v>0.1295454545</v>
      </c>
      <c r="N25" s="32">
        <f>'веса критериев'!K13</f>
        <v>0.05227272727</v>
      </c>
    </row>
    <row r="26" ht="15.75" customHeight="1"/>
    <row r="27" ht="15.75" customHeight="1">
      <c r="B27" s="16" t="s">
        <v>55</v>
      </c>
    </row>
    <row r="28" ht="15.75" customHeight="1">
      <c r="B28" s="20"/>
    </row>
    <row r="29" ht="15.75" customHeight="1">
      <c r="A29" s="15">
        <v>1.0</v>
      </c>
      <c r="B29" s="58" t="str">
        <f t="shared" ref="B29:B36" si="23">INDEX($B$17:$B$24, MATCH(C29, $O$17:$O$24, 0))</f>
        <v>Infinix InBook Y3 MAX</v>
      </c>
      <c r="C29" s="15">
        <f t="shared" ref="C29:C36" si="24">LARGE($O$17:$O$24,A29)</f>
        <v>0.5805986153</v>
      </c>
    </row>
    <row r="30" ht="15.75" customHeight="1">
      <c r="A30" s="15">
        <v>2.0</v>
      </c>
      <c r="B30" s="58" t="str">
        <f t="shared" si="23"/>
        <v>Huawei MateBook D14</v>
      </c>
      <c r="C30" s="15">
        <f t="shared" si="24"/>
        <v>0.5696403692</v>
      </c>
    </row>
    <row r="31" ht="15.75" customHeight="1">
      <c r="A31" s="15">
        <v>3.0</v>
      </c>
      <c r="B31" s="58" t="str">
        <f t="shared" si="23"/>
        <v>HONOR MagicBook 14 </v>
      </c>
      <c r="C31" s="15">
        <f t="shared" si="24"/>
        <v>0.5389102029</v>
      </c>
    </row>
    <row r="32" ht="15.75" customHeight="1">
      <c r="A32" s="15">
        <v>4.0</v>
      </c>
      <c r="B32" s="58" t="str">
        <f t="shared" si="23"/>
        <v>MSI Modern 15</v>
      </c>
      <c r="C32" s="15">
        <f t="shared" si="24"/>
        <v>0.5226192806</v>
      </c>
    </row>
    <row r="33" ht="15.75" customHeight="1">
      <c r="A33" s="15">
        <v>5.0</v>
      </c>
      <c r="B33" s="58" t="str">
        <f t="shared" si="23"/>
        <v>Ноутбук ASUS ZenBook 14</v>
      </c>
      <c r="C33" s="15">
        <f t="shared" si="24"/>
        <v>0.5054858934</v>
      </c>
      <c r="J33" s="49"/>
      <c r="K33" s="49"/>
      <c r="L33" s="49"/>
      <c r="M33" s="49"/>
      <c r="N33" s="49"/>
    </row>
    <row r="34" ht="15.75" customHeight="1">
      <c r="A34" s="15">
        <v>6.0</v>
      </c>
      <c r="B34" s="58" t="str">
        <f t="shared" si="23"/>
        <v>HONOR MagicBook x16 pro</v>
      </c>
      <c r="C34" s="15">
        <f t="shared" si="24"/>
        <v>0.4964498712</v>
      </c>
      <c r="J34" s="49"/>
      <c r="K34" s="49"/>
      <c r="L34" s="49"/>
      <c r="M34" s="49"/>
      <c r="N34" s="49"/>
    </row>
    <row r="35" ht="15.75" customHeight="1">
      <c r="A35" s="15">
        <v>7.0</v>
      </c>
      <c r="B35" s="58" t="str">
        <f t="shared" si="23"/>
        <v>Acer Aspire 5</v>
      </c>
      <c r="C35" s="15">
        <f t="shared" si="24"/>
        <v>0.4526529872</v>
      </c>
      <c r="J35" s="49"/>
      <c r="K35" s="49"/>
      <c r="L35" s="49"/>
      <c r="M35" s="49"/>
      <c r="N35" s="49"/>
    </row>
    <row r="36" ht="15.75" customHeight="1">
      <c r="A36" s="15">
        <v>8.0</v>
      </c>
      <c r="B36" s="58" t="str">
        <f t="shared" si="23"/>
        <v>ASUS TUF Gaming F15 FX507</v>
      </c>
      <c r="C36" s="15">
        <f t="shared" si="24"/>
        <v>0.4156488026</v>
      </c>
      <c r="J36" s="49"/>
      <c r="K36" s="49"/>
      <c r="L36" s="49"/>
      <c r="M36" s="49"/>
      <c r="N36" s="49"/>
    </row>
    <row r="37" ht="15.75" customHeight="1">
      <c r="J37" s="49"/>
      <c r="K37" s="49"/>
      <c r="L37" s="49"/>
      <c r="M37" s="49"/>
      <c r="N37" s="49"/>
    </row>
    <row r="38" ht="15.75" customHeight="1">
      <c r="J38" s="49"/>
      <c r="K38" s="49"/>
      <c r="L38" s="49"/>
      <c r="M38" s="49"/>
      <c r="N38" s="49"/>
    </row>
    <row r="39" ht="15.75" customHeight="1">
      <c r="J39" s="49"/>
      <c r="K39" s="49"/>
      <c r="L39" s="49"/>
      <c r="M39" s="49"/>
      <c r="N39" s="4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2:A3"/>
    <mergeCell ref="B2:B3"/>
    <mergeCell ref="C2:N2"/>
    <mergeCell ref="R2:U2"/>
    <mergeCell ref="C3:D3"/>
    <mergeCell ref="E3:F3"/>
    <mergeCell ref="R3:U3"/>
    <mergeCell ref="R4:U4"/>
    <mergeCell ref="R5:U5"/>
    <mergeCell ref="R6:U6"/>
    <mergeCell ref="R7:U7"/>
    <mergeCell ref="R8:U8"/>
    <mergeCell ref="R9:U9"/>
    <mergeCell ref="R10:U10"/>
    <mergeCell ref="B15:B16"/>
    <mergeCell ref="A25:B25"/>
    <mergeCell ref="C25:D25"/>
    <mergeCell ref="E25:F25"/>
    <mergeCell ref="B27:B28"/>
    <mergeCell ref="R11:U11"/>
    <mergeCell ref="A12:B12"/>
    <mergeCell ref="A13:B13"/>
    <mergeCell ref="A15:A16"/>
    <mergeCell ref="C15:N15"/>
    <mergeCell ref="C16:D16"/>
    <mergeCell ref="E16:F16"/>
  </mergeCells>
  <hyperlinks>
    <hyperlink r:id="rId1" ref="O4"/>
    <hyperlink r:id="rId2" ref="O5"/>
    <hyperlink r:id="rId3" ref="O6"/>
    <hyperlink r:id="rId4" ref="O7"/>
    <hyperlink r:id="rId5" ref="O8"/>
    <hyperlink r:id="rId6" ref="O9"/>
    <hyperlink r:id="rId7" ref="O10"/>
    <hyperlink r:id="rId8" ref="O11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5.63"/>
    <col customWidth="1" min="3" max="3" width="15.38"/>
    <col customWidth="1" min="4" max="4" width="4.38"/>
    <col customWidth="1" min="5" max="6" width="7.25"/>
  </cols>
  <sheetData>
    <row r="1" ht="15.75" customHeight="1">
      <c r="G1" s="15" t="s">
        <v>86</v>
      </c>
      <c r="I1" s="15" t="s">
        <v>86</v>
      </c>
      <c r="K1" s="15" t="s">
        <v>86</v>
      </c>
      <c r="M1" s="15" t="s">
        <v>86</v>
      </c>
      <c r="N1" s="15" t="s">
        <v>86</v>
      </c>
    </row>
    <row r="2" ht="15.75" customHeight="1">
      <c r="A2" s="40" t="s">
        <v>54</v>
      </c>
      <c r="B2" s="16" t="s">
        <v>55</v>
      </c>
      <c r="C2" s="41" t="s">
        <v>21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  <c r="Q2" s="35" t="s">
        <v>22</v>
      </c>
      <c r="R2" s="42" t="s">
        <v>1</v>
      </c>
      <c r="S2" s="2"/>
      <c r="T2" s="2"/>
      <c r="U2" s="3"/>
    </row>
    <row r="3" ht="15.75" customHeight="1">
      <c r="A3" s="4"/>
      <c r="B3" s="20"/>
      <c r="C3" s="59" t="s">
        <v>1</v>
      </c>
      <c r="D3" s="2"/>
      <c r="E3" s="60" t="s">
        <v>56</v>
      </c>
      <c r="F3" s="2"/>
      <c r="G3" s="60" t="s">
        <v>57</v>
      </c>
      <c r="H3" s="60" t="s">
        <v>58</v>
      </c>
      <c r="I3" s="60" t="s">
        <v>59</v>
      </c>
      <c r="J3" s="60" t="s">
        <v>60</v>
      </c>
      <c r="K3" s="60" t="s">
        <v>61</v>
      </c>
      <c r="L3" s="60" t="s">
        <v>62</v>
      </c>
      <c r="M3" s="60" t="s">
        <v>63</v>
      </c>
      <c r="N3" s="61" t="s">
        <v>64</v>
      </c>
      <c r="Q3" s="36" t="s">
        <v>23</v>
      </c>
      <c r="R3" s="11" t="s">
        <v>2</v>
      </c>
      <c r="U3" s="9"/>
    </row>
    <row r="4" ht="15.75" customHeight="1">
      <c r="A4" s="24" t="s">
        <v>40</v>
      </c>
      <c r="B4" s="46" t="str">
        <f>'альтернативы (м. ранжирования)'!B4</f>
        <v>HONOR MagicBook x16 pro</v>
      </c>
      <c r="C4" s="54" t="str">
        <f>'альтернативы (м. ранжирования)'!C4</f>
        <v>IPS</v>
      </c>
      <c r="D4" s="37">
        <f>'альтернативы (м. ранжирования)'!D4</f>
        <v>1</v>
      </c>
      <c r="E4" s="37">
        <f>'альтернативы (м. ранжирования)'!E4</f>
        <v>1920</v>
      </c>
      <c r="F4" s="37">
        <f>'альтернативы (м. ранжирования)'!F4</f>
        <v>1200</v>
      </c>
      <c r="G4" s="37">
        <f>'альтернативы (м. ранжирования)'!G4</f>
        <v>12</v>
      </c>
      <c r="H4" s="37">
        <f>'альтернативы (м. ранжирования)'!H4</f>
        <v>4.7</v>
      </c>
      <c r="I4" s="37">
        <f>'альтернативы (м. ранжирования)'!I4</f>
        <v>52793</v>
      </c>
      <c r="J4" s="37">
        <f>'альтернативы (м. ранжирования)'!J4</f>
        <v>16</v>
      </c>
      <c r="K4" s="37">
        <f>'альтернативы (м. ранжирования)'!K4</f>
        <v>16</v>
      </c>
      <c r="L4" s="37">
        <f>'альтернативы (м. ранжирования)'!L4</f>
        <v>60</v>
      </c>
      <c r="M4" s="37">
        <f>'альтернативы (м. ранжирования)'!M4</f>
        <v>512</v>
      </c>
      <c r="N4" s="39">
        <f>'альтернативы (м. ранжирования)'!N4</f>
        <v>0</v>
      </c>
      <c r="Q4" s="36" t="s">
        <v>25</v>
      </c>
      <c r="R4" s="11" t="s">
        <v>4</v>
      </c>
      <c r="U4" s="9"/>
    </row>
    <row r="5" ht="15.75" customHeight="1">
      <c r="A5" s="27" t="s">
        <v>41</v>
      </c>
      <c r="B5" s="46" t="str">
        <f>'альтернативы (м. ранжирования)'!B5</f>
        <v>HONOR MagicBook 14 </v>
      </c>
      <c r="C5" s="46" t="str">
        <f>'альтернативы (м. ранжирования)'!C5</f>
        <v>IPS</v>
      </c>
      <c r="D5" s="15">
        <f>'альтернативы (м. ранжирования)'!D5</f>
        <v>1</v>
      </c>
      <c r="E5" s="15">
        <f>'альтернативы (м. ранжирования)'!E5</f>
        <v>1920</v>
      </c>
      <c r="F5" s="15">
        <f>'альтернативы (м. ранжирования)'!F5</f>
        <v>1080</v>
      </c>
      <c r="G5" s="15">
        <f>'альтернативы (м. ранжирования)'!G5</f>
        <v>8</v>
      </c>
      <c r="H5" s="15">
        <f>'альтернативы (м. ранжирования)'!H5</f>
        <v>1.8</v>
      </c>
      <c r="I5" s="15">
        <f>'альтернативы (м. ранжирования)'!I5</f>
        <v>46299</v>
      </c>
      <c r="J5" s="15">
        <f>'альтернативы (м. ранжирования)'!J5</f>
        <v>16</v>
      </c>
      <c r="K5" s="15">
        <f>'альтернативы (м. ранжирования)'!K5</f>
        <v>14</v>
      </c>
      <c r="L5" s="15">
        <f>'альтернативы (м. ранжирования)'!L5</f>
        <v>56</v>
      </c>
      <c r="M5" s="15">
        <f>'альтернативы (м. ранжирования)'!M5</f>
        <v>512</v>
      </c>
      <c r="N5" s="26">
        <f>'альтернативы (м. ранжирования)'!N5</f>
        <v>0</v>
      </c>
      <c r="Q5" s="36" t="s">
        <v>26</v>
      </c>
      <c r="R5" s="11" t="s">
        <v>5</v>
      </c>
      <c r="U5" s="9"/>
    </row>
    <row r="6" ht="15.75" customHeight="1">
      <c r="A6" s="27" t="s">
        <v>42</v>
      </c>
      <c r="B6" s="46" t="str">
        <f>'альтернативы (м. ранжирования)'!B6</f>
        <v>Ноутбук ASUS ZenBook 14</v>
      </c>
      <c r="C6" s="46" t="str">
        <f>'альтернативы (м. ранжирования)'!C6</f>
        <v>IPS</v>
      </c>
      <c r="D6" s="15">
        <f>'альтернативы (м. ранжирования)'!D6</f>
        <v>1</v>
      </c>
      <c r="E6" s="15">
        <f>'альтернативы (м. ранжирования)'!E6</f>
        <v>2560</v>
      </c>
      <c r="F6" s="15">
        <f>'альтернативы (м. ранжирования)'!F6</f>
        <v>1600</v>
      </c>
      <c r="G6" s="15">
        <f>'альтернативы (м. ранжирования)'!G6</f>
        <v>12</v>
      </c>
      <c r="H6" s="15">
        <f>'альтернативы (м. ранжирования)'!H6</f>
        <v>4.5</v>
      </c>
      <c r="I6" s="15">
        <f>'альтернативы (м. ранжирования)'!I6</f>
        <v>79999</v>
      </c>
      <c r="J6" s="15">
        <f>'альтернативы (м. ранжирования)'!J6</f>
        <v>16</v>
      </c>
      <c r="K6" s="15">
        <f>'альтернативы (м. ранжирования)'!K6</f>
        <v>14</v>
      </c>
      <c r="L6" s="15">
        <f>'альтернативы (м. ранжирования)'!L6</f>
        <v>75</v>
      </c>
      <c r="M6" s="15">
        <f>'альтернативы (м. ранжирования)'!M6</f>
        <v>512</v>
      </c>
      <c r="N6" s="26">
        <f>'альтернативы (м. ранжирования)'!N6</f>
        <v>0</v>
      </c>
      <c r="Q6" s="36" t="s">
        <v>28</v>
      </c>
      <c r="R6" s="11" t="s">
        <v>7</v>
      </c>
      <c r="U6" s="9"/>
    </row>
    <row r="7" ht="15.75" customHeight="1">
      <c r="A7" s="27" t="s">
        <v>43</v>
      </c>
      <c r="B7" s="46" t="str">
        <f>'альтернативы (м. ранжирования)'!B7</f>
        <v>Infinix InBook Y3 MAX</v>
      </c>
      <c r="C7" s="46" t="str">
        <f>'альтернативы (м. ранжирования)'!C7</f>
        <v>IPS</v>
      </c>
      <c r="D7" s="15">
        <f>'альтернативы (м. ранжирования)'!D7</f>
        <v>1</v>
      </c>
      <c r="E7" s="15">
        <f>'альтернативы (м. ранжирования)'!E7</f>
        <v>1920</v>
      </c>
      <c r="F7" s="15">
        <f>'альтернативы (м. ранжирования)'!F7</f>
        <v>1200</v>
      </c>
      <c r="G7" s="15">
        <f>'альтернативы (м. ранжирования)'!G7</f>
        <v>6</v>
      </c>
      <c r="H7" s="15">
        <f>'альтернативы (м. ранжирования)'!H7</f>
        <v>2</v>
      </c>
      <c r="I7" s="15">
        <f>'альтернативы (м. ранжирования)'!I7</f>
        <v>42999</v>
      </c>
      <c r="J7" s="15">
        <f>'альтернативы (м. ранжирования)'!J7</f>
        <v>16</v>
      </c>
      <c r="K7" s="15">
        <f>'альтернативы (м. ранжирования)'!K7</f>
        <v>16</v>
      </c>
      <c r="L7" s="15">
        <f>'альтернативы (м. ранжирования)'!L7</f>
        <v>70</v>
      </c>
      <c r="M7" s="15">
        <f>'альтернативы (м. ранжирования)'!M7</f>
        <v>512</v>
      </c>
      <c r="N7" s="26">
        <f>'альтернативы (м. ранжирования)'!N7</f>
        <v>0</v>
      </c>
      <c r="Q7" s="36" t="s">
        <v>29</v>
      </c>
      <c r="R7" s="11" t="s">
        <v>8</v>
      </c>
      <c r="U7" s="9"/>
    </row>
    <row r="8" ht="15.75" customHeight="1">
      <c r="A8" s="27" t="s">
        <v>44</v>
      </c>
      <c r="B8" s="46" t="str">
        <f>'альтернативы (м. ранжирования)'!B8</f>
        <v>ASUS TUF Gaming F15 FX507</v>
      </c>
      <c r="C8" s="46" t="str">
        <f>'альтернативы (м. ранжирования)'!C8</f>
        <v>IPS</v>
      </c>
      <c r="D8" s="15">
        <f>'альтернативы (м. ранжирования)'!D8</f>
        <v>1</v>
      </c>
      <c r="E8" s="15">
        <f>'альтернативы (м. ранжирования)'!E8</f>
        <v>1920</v>
      </c>
      <c r="F8" s="15">
        <f>'альтернативы (м. ранжирования)'!F8</f>
        <v>1080</v>
      </c>
      <c r="G8" s="15">
        <f>'альтернативы (м. ранжирования)'!G8</f>
        <v>12</v>
      </c>
      <c r="H8" s="15">
        <f>'альтернативы (м. ранжирования)'!H8</f>
        <v>4.5</v>
      </c>
      <c r="I8" s="15">
        <f>'альтернативы (м. ранжирования)'!I8</f>
        <v>67878</v>
      </c>
      <c r="J8" s="15">
        <f>'альтернативы (м. ранжирования)'!J8</f>
        <v>16</v>
      </c>
      <c r="K8" s="15">
        <f>'альтернативы (м. ранжирования)'!K8</f>
        <v>15.6</v>
      </c>
      <c r="L8" s="15">
        <f>'альтернативы (м. ранжирования)'!L8</f>
        <v>56</v>
      </c>
      <c r="M8" s="15">
        <f>'альтернативы (м. ранжирования)'!M8</f>
        <v>512</v>
      </c>
      <c r="N8" s="26">
        <f>'альтернативы (м. ранжирования)'!N8</f>
        <v>0</v>
      </c>
      <c r="Q8" s="36" t="s">
        <v>30</v>
      </c>
      <c r="R8" s="11" t="s">
        <v>9</v>
      </c>
      <c r="U8" s="9"/>
    </row>
    <row r="9" ht="15.75" customHeight="1">
      <c r="A9" s="27" t="s">
        <v>45</v>
      </c>
      <c r="B9" s="46" t="str">
        <f>'альтернативы (м. ранжирования)'!B9</f>
        <v>Huawei MateBook D14</v>
      </c>
      <c r="C9" s="46" t="str">
        <f>'альтернативы (м. ранжирования)'!C9</f>
        <v>IPS</v>
      </c>
      <c r="D9" s="15">
        <f>'альтернативы (м. ранжирования)'!D9</f>
        <v>1</v>
      </c>
      <c r="E9" s="15">
        <f>'альтернативы (м. ранжирования)'!E9</f>
        <v>1920</v>
      </c>
      <c r="F9" s="15">
        <f>'альтернативы (м. ранжирования)'!F9</f>
        <v>1080</v>
      </c>
      <c r="G9" s="15">
        <f>'альтернативы (м. ранжирования)'!G9</f>
        <v>8</v>
      </c>
      <c r="H9" s="15">
        <f>'альтернативы (м. ранжирования)'!H9</f>
        <v>2</v>
      </c>
      <c r="I9" s="15">
        <f>'альтернативы (м. ранжирования)'!I9</f>
        <v>40990</v>
      </c>
      <c r="J9" s="15">
        <f>'альтернативы (м. ранжирования)'!J9</f>
        <v>16</v>
      </c>
      <c r="K9" s="15">
        <f>'альтернативы (м. ранжирования)'!K9</f>
        <v>14</v>
      </c>
      <c r="L9" s="15">
        <f>'альтернативы (м. ранжирования)'!L9</f>
        <v>56</v>
      </c>
      <c r="M9" s="15">
        <f>'альтернативы (м. ранжирования)'!M9</f>
        <v>512</v>
      </c>
      <c r="N9" s="26">
        <f>'альтернативы (м. ранжирования)'!N9</f>
        <v>0</v>
      </c>
      <c r="Q9" s="36" t="s">
        <v>31</v>
      </c>
      <c r="R9" s="11" t="s">
        <v>10</v>
      </c>
      <c r="U9" s="9"/>
    </row>
    <row r="10" ht="15.75" customHeight="1">
      <c r="A10" s="27" t="s">
        <v>46</v>
      </c>
      <c r="B10" s="46" t="str">
        <f>'альтернативы (м. ранжирования)'!B10</f>
        <v>MSI Modern 15</v>
      </c>
      <c r="C10" s="46" t="str">
        <f>'альтернативы (м. ранжирования)'!C10</f>
        <v>IPS</v>
      </c>
      <c r="D10" s="15">
        <f>'альтернативы (м. ранжирования)'!D10</f>
        <v>1</v>
      </c>
      <c r="E10" s="15">
        <f>'альтернативы (м. ранжирования)'!E10</f>
        <v>1920</v>
      </c>
      <c r="F10" s="15">
        <f>'альтернативы (м. ранжирования)'!F10</f>
        <v>1080</v>
      </c>
      <c r="G10" s="15">
        <f>'альтернативы (м. ранжирования)'!G10</f>
        <v>10</v>
      </c>
      <c r="H10" s="15">
        <f>'альтернативы (м. ранжирования)'!H10</f>
        <v>4.6</v>
      </c>
      <c r="I10" s="15">
        <f>'альтернативы (м. ранжирования)'!I10</f>
        <v>48999</v>
      </c>
      <c r="J10" s="15">
        <f>'альтернативы (м. ранжирования)'!J10</f>
        <v>16</v>
      </c>
      <c r="K10" s="15">
        <f>'альтернативы (м. ранжирования)'!K10</f>
        <v>15.6</v>
      </c>
      <c r="L10" s="15">
        <f>'альтернативы (м. ранжирования)'!L10</f>
        <v>39</v>
      </c>
      <c r="M10" s="15">
        <f>'альтернативы (м. ранжирования)'!M10</f>
        <v>512</v>
      </c>
      <c r="N10" s="26">
        <f>'альтернативы (м. ранжирования)'!N10</f>
        <v>0</v>
      </c>
      <c r="Q10" s="36" t="s">
        <v>36</v>
      </c>
      <c r="R10" s="11" t="s">
        <v>15</v>
      </c>
      <c r="U10" s="9"/>
    </row>
    <row r="11" ht="15.75" customHeight="1">
      <c r="A11" s="28" t="s">
        <v>47</v>
      </c>
      <c r="B11" s="46" t="str">
        <f>'альтернативы (м. ранжирования)'!B11</f>
        <v>Acer Aspire 5</v>
      </c>
      <c r="C11" s="46" t="str">
        <f>'альтернативы (м. ранжирования)'!C11</f>
        <v>IPS</v>
      </c>
      <c r="D11" s="15">
        <f>'альтернативы (м. ранжирования)'!D11</f>
        <v>1</v>
      </c>
      <c r="E11" s="15">
        <f>'альтернативы (м. ранжирования)'!E11</f>
        <v>1920</v>
      </c>
      <c r="F11" s="15">
        <f>'альтернативы (м. ранжирования)'!F11</f>
        <v>1080</v>
      </c>
      <c r="G11" s="15">
        <f>'альтернативы (м. ранжирования)'!G11</f>
        <v>10</v>
      </c>
      <c r="H11" s="15">
        <f>'альтернативы (м. ранжирования)'!H11</f>
        <v>4.7</v>
      </c>
      <c r="I11" s="15">
        <f>'альтернативы (м. ранжирования)'!I11</f>
        <v>70000</v>
      </c>
      <c r="J11" s="15">
        <f>'альтернативы (м. ранжирования)'!J11</f>
        <v>16</v>
      </c>
      <c r="K11" s="15">
        <f>'альтернативы (м. ранжирования)'!K11</f>
        <v>15.6</v>
      </c>
      <c r="L11" s="15">
        <f>'альтернативы (м. ранжирования)'!L11</f>
        <v>50</v>
      </c>
      <c r="M11" s="15">
        <f>'альтернативы (м. ранжирования)'!M11</f>
        <v>512</v>
      </c>
      <c r="N11" s="15">
        <f>'альтернативы (м. ранжирования)'!N11</f>
        <v>0</v>
      </c>
      <c r="Q11" s="33" t="s">
        <v>39</v>
      </c>
      <c r="R11" s="13" t="s">
        <v>18</v>
      </c>
      <c r="S11" s="5"/>
      <c r="T11" s="5"/>
      <c r="U11" s="6"/>
    </row>
    <row r="12" ht="15.75" customHeight="1">
      <c r="A12" s="53" t="s">
        <v>82</v>
      </c>
      <c r="B12" s="3"/>
      <c r="C12" s="54" t="str">
        <f t="shared" ref="C12:C13" si="1">C10</f>
        <v>IPS</v>
      </c>
      <c r="D12" s="37">
        <f>'альтернативы (м. ранжирования)'!D12</f>
        <v>1</v>
      </c>
      <c r="E12" s="37">
        <f>'альтернативы (м. ранжирования)'!E12</f>
        <v>2560</v>
      </c>
      <c r="F12" s="37">
        <f>'альтернативы (м. ранжирования)'!F12</f>
        <v>1600</v>
      </c>
      <c r="G12" s="37">
        <f>'альтернативы (м. ранжирования)'!G12</f>
        <v>12</v>
      </c>
      <c r="H12" s="37">
        <f>'альтернативы (м. ранжирования)'!H12</f>
        <v>4.7</v>
      </c>
      <c r="I12" s="37">
        <f>'альтернативы (м. ранжирования)'!I12</f>
        <v>79999</v>
      </c>
      <c r="J12" s="37">
        <f>'альтернативы (м. ранжирования)'!J12</f>
        <v>16</v>
      </c>
      <c r="K12" s="37">
        <f>'альтернативы (м. ранжирования)'!K12</f>
        <v>16</v>
      </c>
      <c r="L12" s="37">
        <f>'альтернативы (м. ранжирования)'!L12</f>
        <v>75</v>
      </c>
      <c r="M12" s="37">
        <f>'альтернативы (м. ранжирования)'!M12</f>
        <v>512</v>
      </c>
      <c r="N12" s="39">
        <f>'альтернативы (м. ранжирования)'!N12</f>
        <v>0</v>
      </c>
      <c r="R12" s="55"/>
      <c r="S12" s="55"/>
      <c r="T12" s="55"/>
      <c r="U12" s="55"/>
    </row>
    <row r="13" ht="15.75" customHeight="1">
      <c r="A13" s="56" t="s">
        <v>83</v>
      </c>
      <c r="B13" s="6"/>
      <c r="C13" s="57" t="str">
        <f t="shared" si="1"/>
        <v>IPS</v>
      </c>
      <c r="D13" s="21">
        <f>'альтернативы (м. ранжирования)'!D13</f>
        <v>0</v>
      </c>
      <c r="E13" s="21">
        <f>'альтернативы (м. ранжирования)'!E13</f>
        <v>1920</v>
      </c>
      <c r="F13" s="21">
        <f>'альтернативы (м. ранжирования)'!F13</f>
        <v>1080</v>
      </c>
      <c r="G13" s="21">
        <f>'альтернативы (м. ранжирования)'!G13</f>
        <v>6</v>
      </c>
      <c r="H13" s="21">
        <f>'альтернативы (м. ранжирования)'!H13</f>
        <v>1.8</v>
      </c>
      <c r="I13" s="21">
        <f>'альтернативы (м. ранжирования)'!I13</f>
        <v>40990</v>
      </c>
      <c r="J13" s="21">
        <f>'альтернативы (м. ранжирования)'!J13</f>
        <v>0</v>
      </c>
      <c r="K13" s="21">
        <f>'альтернативы (м. ранжирования)'!K13</f>
        <v>14</v>
      </c>
      <c r="L13" s="21">
        <f>'альтернативы (м. ранжирования)'!L13</f>
        <v>39</v>
      </c>
      <c r="M13" s="21">
        <f>'альтернативы (м. ранжирования)'!M13</f>
        <v>0</v>
      </c>
      <c r="N13" s="23">
        <f>'альтернативы (м. ранжирования)'!N13</f>
        <v>0</v>
      </c>
      <c r="R13" s="55"/>
      <c r="S13" s="55"/>
      <c r="T13" s="55"/>
      <c r="U13" s="55"/>
    </row>
    <row r="14" ht="15.75" customHeight="1"/>
    <row r="15" ht="15.75" customHeight="1">
      <c r="A15" s="40" t="s">
        <v>54</v>
      </c>
      <c r="B15" s="16" t="s">
        <v>55</v>
      </c>
      <c r="C15" s="41" t="s">
        <v>84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15.75" customHeight="1">
      <c r="A16" s="4"/>
      <c r="B16" s="20"/>
      <c r="C16" s="59" t="s">
        <v>1</v>
      </c>
      <c r="D16" s="2"/>
      <c r="E16" s="60" t="s">
        <v>56</v>
      </c>
      <c r="F16" s="2"/>
      <c r="G16" s="60" t="s">
        <v>57</v>
      </c>
      <c r="H16" s="60" t="s">
        <v>58</v>
      </c>
      <c r="I16" s="60" t="s">
        <v>59</v>
      </c>
      <c r="J16" s="60" t="s">
        <v>60</v>
      </c>
      <c r="K16" s="60" t="s">
        <v>61</v>
      </c>
      <c r="L16" s="60" t="s">
        <v>62</v>
      </c>
      <c r="M16" s="60" t="s">
        <v>63</v>
      </c>
      <c r="N16" s="61" t="s">
        <v>64</v>
      </c>
    </row>
    <row r="17" ht="15.75" customHeight="1">
      <c r="A17" s="24" t="s">
        <v>40</v>
      </c>
      <c r="B17" s="46" t="str">
        <f t="shared" ref="B17:C17" si="2">B4</f>
        <v>HONOR MagicBook x16 pro</v>
      </c>
      <c r="C17" s="54" t="str">
        <f t="shared" si="2"/>
        <v>IPS</v>
      </c>
      <c r="D17" s="37">
        <f t="shared" ref="D17:D24" si="4">(D4-$D$13)/($D$12-$D$13)</f>
        <v>1</v>
      </c>
      <c r="E17" s="62">
        <f t="shared" ref="E17:E24" si="5">(E4-$E$13)/($E$12-$E$13)</f>
        <v>0</v>
      </c>
      <c r="F17" s="62">
        <f t="shared" ref="F17:F24" si="6">(F4-$F$13)/($F$12-$F$13)</f>
        <v>0.2307692308</v>
      </c>
      <c r="G17" s="62">
        <f t="shared" ref="G17:G24" si="7">1-(G4-$G$13)/($G$12-$G$13)</f>
        <v>0</v>
      </c>
      <c r="H17" s="62">
        <f t="shared" ref="H17:H24" si="8">(H4-$H$13)/($H$12-$H$13)</f>
        <v>1</v>
      </c>
      <c r="I17" s="62">
        <f t="shared" ref="I17:I24" si="9">1-((I4-$I$13)/($I$12-$I$13))</f>
        <v>0.6974287985</v>
      </c>
      <c r="J17" s="62">
        <f t="shared" ref="J17:J24" si="10">(J4-$J$13)/($J$12-$J$13)</f>
        <v>1</v>
      </c>
      <c r="K17" s="62">
        <f t="shared" ref="K17:K24" si="11">1-(K4-$K$13)/($K$12-$K$13)</f>
        <v>0</v>
      </c>
      <c r="L17" s="62">
        <f t="shared" ref="L17:L24" si="12">(L4-$L$13)/($L$12-$L$13)</f>
        <v>0.5833333333</v>
      </c>
      <c r="M17" s="62">
        <f t="shared" ref="M17:M24" si="13">1-(M4-$M$13)/($M$12-$M$13)</f>
        <v>0</v>
      </c>
      <c r="N17" s="63">
        <v>0.0</v>
      </c>
      <c r="O17" s="15">
        <f t="shared" ref="O17:O24" si="14">D17*$C$25+E17*$E$25+F17*$E$25+G17*$G$25+H17*$H$25+I17*$I$25+J17*$J$25+K17*$K$25+L17*$L$25+M17*$M$25+N17*$N$25</f>
        <v>0.4677671646</v>
      </c>
    </row>
    <row r="18" ht="15.75" customHeight="1">
      <c r="A18" s="27" t="s">
        <v>41</v>
      </c>
      <c r="B18" s="46" t="str">
        <f t="shared" ref="B18:C18" si="3">B5</f>
        <v>HONOR MagicBook 14 </v>
      </c>
      <c r="C18" s="46" t="str">
        <f t="shared" si="3"/>
        <v>IPS</v>
      </c>
      <c r="D18" s="15">
        <f t="shared" si="4"/>
        <v>1</v>
      </c>
      <c r="E18" s="64">
        <f t="shared" si="5"/>
        <v>0</v>
      </c>
      <c r="F18" s="64">
        <f t="shared" si="6"/>
        <v>0</v>
      </c>
      <c r="G18" s="64">
        <f t="shared" si="7"/>
        <v>0.6666666667</v>
      </c>
      <c r="H18" s="64">
        <f t="shared" si="8"/>
        <v>0</v>
      </c>
      <c r="I18" s="64">
        <f t="shared" si="9"/>
        <v>0.8639032018</v>
      </c>
      <c r="J18" s="64">
        <f t="shared" si="10"/>
        <v>1</v>
      </c>
      <c r="K18" s="64">
        <f t="shared" si="11"/>
        <v>1</v>
      </c>
      <c r="L18" s="64">
        <f t="shared" si="12"/>
        <v>0.4722222222</v>
      </c>
      <c r="M18" s="64">
        <f t="shared" si="13"/>
        <v>0</v>
      </c>
      <c r="N18" s="63">
        <v>0.0</v>
      </c>
      <c r="O18" s="15">
        <f t="shared" si="14"/>
        <v>0.5082942772</v>
      </c>
    </row>
    <row r="19" ht="15.75" customHeight="1">
      <c r="A19" s="27" t="s">
        <v>42</v>
      </c>
      <c r="B19" s="46" t="str">
        <f t="shared" ref="B19:C19" si="15">B6</f>
        <v>Ноутбук ASUS ZenBook 14</v>
      </c>
      <c r="C19" s="46" t="str">
        <f t="shared" si="15"/>
        <v>IPS</v>
      </c>
      <c r="D19" s="15">
        <f t="shared" si="4"/>
        <v>1</v>
      </c>
      <c r="E19" s="64">
        <f t="shared" si="5"/>
        <v>1</v>
      </c>
      <c r="F19" s="64">
        <f t="shared" si="6"/>
        <v>1</v>
      </c>
      <c r="G19" s="64">
        <f t="shared" si="7"/>
        <v>0</v>
      </c>
      <c r="H19" s="64">
        <f t="shared" si="8"/>
        <v>0.9310344828</v>
      </c>
      <c r="I19" s="64">
        <f t="shared" si="9"/>
        <v>0</v>
      </c>
      <c r="J19" s="64">
        <f t="shared" si="10"/>
        <v>1</v>
      </c>
      <c r="K19" s="64">
        <f t="shared" si="11"/>
        <v>1</v>
      </c>
      <c r="L19" s="64">
        <f t="shared" si="12"/>
        <v>1</v>
      </c>
      <c r="M19" s="64">
        <f t="shared" si="13"/>
        <v>0</v>
      </c>
      <c r="N19" s="63">
        <v>0.0</v>
      </c>
      <c r="O19" s="15">
        <f t="shared" si="14"/>
        <v>0.6555459823</v>
      </c>
    </row>
    <row r="20" ht="15.75" customHeight="1">
      <c r="A20" s="27" t="s">
        <v>43</v>
      </c>
      <c r="B20" s="46" t="str">
        <f t="shared" ref="B20:C20" si="16">B7</f>
        <v>Infinix InBook Y3 MAX</v>
      </c>
      <c r="C20" s="46" t="str">
        <f t="shared" si="16"/>
        <v>IPS</v>
      </c>
      <c r="D20" s="15">
        <f t="shared" si="4"/>
        <v>1</v>
      </c>
      <c r="E20" s="64">
        <f t="shared" si="5"/>
        <v>0</v>
      </c>
      <c r="F20" s="64">
        <f t="shared" si="6"/>
        <v>0.2307692308</v>
      </c>
      <c r="G20" s="64">
        <f t="shared" si="7"/>
        <v>1</v>
      </c>
      <c r="H20" s="64">
        <f t="shared" si="8"/>
        <v>0.06896551724</v>
      </c>
      <c r="I20" s="64">
        <f t="shared" si="9"/>
        <v>0.9484990643</v>
      </c>
      <c r="J20" s="64">
        <f t="shared" si="10"/>
        <v>1</v>
      </c>
      <c r="K20" s="64">
        <f t="shared" si="11"/>
        <v>0</v>
      </c>
      <c r="L20" s="64">
        <f t="shared" si="12"/>
        <v>0.8611111111</v>
      </c>
      <c r="M20" s="64">
        <f t="shared" si="13"/>
        <v>0</v>
      </c>
      <c r="N20" s="63">
        <v>0.0</v>
      </c>
      <c r="O20" s="15">
        <f t="shared" si="14"/>
        <v>0.5321434674</v>
      </c>
    </row>
    <row r="21" ht="15.75" customHeight="1">
      <c r="A21" s="27" t="s">
        <v>44</v>
      </c>
      <c r="B21" s="46" t="str">
        <f t="shared" ref="B21:C21" si="17">B8</f>
        <v>ASUS TUF Gaming F15 FX507</v>
      </c>
      <c r="C21" s="46" t="str">
        <f t="shared" si="17"/>
        <v>IPS</v>
      </c>
      <c r="D21" s="15">
        <f t="shared" si="4"/>
        <v>1</v>
      </c>
      <c r="E21" s="64">
        <f t="shared" si="5"/>
        <v>0</v>
      </c>
      <c r="F21" s="64">
        <f t="shared" si="6"/>
        <v>0</v>
      </c>
      <c r="G21" s="64">
        <f t="shared" si="7"/>
        <v>0</v>
      </c>
      <c r="H21" s="64">
        <f t="shared" si="8"/>
        <v>0.9310344828</v>
      </c>
      <c r="I21" s="64">
        <f t="shared" si="9"/>
        <v>0.3107231664</v>
      </c>
      <c r="J21" s="64">
        <f t="shared" si="10"/>
        <v>1</v>
      </c>
      <c r="K21" s="64">
        <f t="shared" si="11"/>
        <v>0.2</v>
      </c>
      <c r="L21" s="64">
        <f t="shared" si="12"/>
        <v>0.4722222222</v>
      </c>
      <c r="M21" s="64">
        <f t="shared" si="13"/>
        <v>0</v>
      </c>
      <c r="N21" s="63">
        <v>0.0</v>
      </c>
      <c r="O21" s="15">
        <f t="shared" si="14"/>
        <v>0.400970492</v>
      </c>
    </row>
    <row r="22" ht="15.75" customHeight="1">
      <c r="A22" s="27" t="s">
        <v>45</v>
      </c>
      <c r="B22" s="46" t="str">
        <f t="shared" ref="B22:C22" si="18">B9</f>
        <v>Huawei MateBook D14</v>
      </c>
      <c r="C22" s="46" t="str">
        <f t="shared" si="18"/>
        <v>IPS</v>
      </c>
      <c r="D22" s="15">
        <f t="shared" si="4"/>
        <v>1</v>
      </c>
      <c r="E22" s="64">
        <f t="shared" si="5"/>
        <v>0</v>
      </c>
      <c r="F22" s="64">
        <f t="shared" si="6"/>
        <v>0</v>
      </c>
      <c r="G22" s="64">
        <f t="shared" si="7"/>
        <v>0.6666666667</v>
      </c>
      <c r="H22" s="64">
        <f t="shared" si="8"/>
        <v>0.06896551724</v>
      </c>
      <c r="I22" s="64">
        <f t="shared" si="9"/>
        <v>1</v>
      </c>
      <c r="J22" s="64">
        <f t="shared" si="10"/>
        <v>1</v>
      </c>
      <c r="K22" s="64">
        <f t="shared" si="11"/>
        <v>1</v>
      </c>
      <c r="L22" s="64">
        <f t="shared" si="12"/>
        <v>0.4722222222</v>
      </c>
      <c r="M22" s="64">
        <f t="shared" si="13"/>
        <v>0</v>
      </c>
      <c r="N22" s="63">
        <v>0.0</v>
      </c>
      <c r="O22" s="15">
        <f t="shared" si="14"/>
        <v>0.5320002705</v>
      </c>
    </row>
    <row r="23" ht="15.75" customHeight="1">
      <c r="A23" s="27" t="s">
        <v>46</v>
      </c>
      <c r="B23" s="46" t="str">
        <f t="shared" ref="B23:C23" si="19">B10</f>
        <v>MSI Modern 15</v>
      </c>
      <c r="C23" s="46" t="str">
        <f t="shared" si="19"/>
        <v>IPS</v>
      </c>
      <c r="D23" s="15">
        <f t="shared" si="4"/>
        <v>1</v>
      </c>
      <c r="E23" s="64">
        <f t="shared" si="5"/>
        <v>0</v>
      </c>
      <c r="F23" s="64">
        <f t="shared" si="6"/>
        <v>0</v>
      </c>
      <c r="G23" s="64">
        <f t="shared" si="7"/>
        <v>0.3333333333</v>
      </c>
      <c r="H23" s="64">
        <f t="shared" si="8"/>
        <v>0.9655172414</v>
      </c>
      <c r="I23" s="64">
        <f t="shared" si="9"/>
        <v>0.7946884052</v>
      </c>
      <c r="J23" s="64">
        <f t="shared" si="10"/>
        <v>1</v>
      </c>
      <c r="K23" s="64">
        <f t="shared" si="11"/>
        <v>0.2</v>
      </c>
      <c r="L23" s="64">
        <f t="shared" si="12"/>
        <v>0</v>
      </c>
      <c r="M23" s="64">
        <f t="shared" si="13"/>
        <v>0</v>
      </c>
      <c r="N23" s="63">
        <v>0.0</v>
      </c>
      <c r="O23" s="15">
        <f t="shared" si="14"/>
        <v>0.4590754965</v>
      </c>
    </row>
    <row r="24" ht="15.75" customHeight="1">
      <c r="A24" s="28" t="s">
        <v>47</v>
      </c>
      <c r="B24" s="46" t="str">
        <f t="shared" ref="B24:C24" si="20">B11</f>
        <v>Acer Aspire 5</v>
      </c>
      <c r="C24" s="57" t="str">
        <f t="shared" si="20"/>
        <v>IPS</v>
      </c>
      <c r="D24" s="21">
        <f t="shared" si="4"/>
        <v>1</v>
      </c>
      <c r="E24" s="65">
        <f t="shared" si="5"/>
        <v>0</v>
      </c>
      <c r="F24" s="65">
        <f t="shared" si="6"/>
        <v>0</v>
      </c>
      <c r="G24" s="65">
        <f t="shared" si="7"/>
        <v>0.3333333333</v>
      </c>
      <c r="H24" s="65">
        <f t="shared" si="8"/>
        <v>1</v>
      </c>
      <c r="I24" s="65">
        <f t="shared" si="9"/>
        <v>0.2563254634</v>
      </c>
      <c r="J24" s="65">
        <f t="shared" si="10"/>
        <v>1</v>
      </c>
      <c r="K24" s="65">
        <f t="shared" si="11"/>
        <v>0.2</v>
      </c>
      <c r="L24" s="65">
        <f t="shared" si="12"/>
        <v>0.3055555556</v>
      </c>
      <c r="M24" s="65">
        <f t="shared" si="13"/>
        <v>0</v>
      </c>
      <c r="N24" s="63">
        <v>0.0</v>
      </c>
      <c r="O24" s="15">
        <f t="shared" si="14"/>
        <v>0.4247549937</v>
      </c>
    </row>
    <row r="25" ht="15.75" customHeight="1">
      <c r="A25" s="17" t="s">
        <v>87</v>
      </c>
      <c r="B25" s="19"/>
      <c r="C25" s="21">
        <f>'веса критериев'!B39</f>
        <v>0.09262799401</v>
      </c>
      <c r="D25" s="5"/>
      <c r="E25" s="21">
        <f>'веса критериев'!C39</f>
        <v>0.08928931879</v>
      </c>
      <c r="F25" s="5"/>
      <c r="G25" s="21">
        <f>'веса критериев'!D39</f>
        <v>0.1113258061</v>
      </c>
      <c r="H25" s="21">
        <f>'веса критериев'!E39</f>
        <v>0.1082008061</v>
      </c>
      <c r="I25" s="21">
        <f>'веса критериев'!F39</f>
        <v>0.1193552595</v>
      </c>
      <c r="J25" s="21">
        <f>'веса критериев'!G39</f>
        <v>0.1130638367</v>
      </c>
      <c r="K25" s="21">
        <f>'веса критериев'!H39</f>
        <v>0.08477539503</v>
      </c>
      <c r="L25" s="21">
        <f>'веса критериев'!I39</f>
        <v>0.08576143739</v>
      </c>
      <c r="M25" s="21">
        <f>'веса критериев'!J39</f>
        <v>0.1145882269</v>
      </c>
      <c r="N25" s="23">
        <f>'веса критериев'!K39</f>
        <v>0.08101191935</v>
      </c>
    </row>
    <row r="26" ht="15.75" customHeight="1"/>
    <row r="27" ht="15.75" customHeight="1">
      <c r="B27" s="16" t="s">
        <v>55</v>
      </c>
    </row>
    <row r="28" ht="15.75" customHeight="1">
      <c r="B28" s="20"/>
    </row>
    <row r="29" ht="15.75" customHeight="1">
      <c r="A29" s="15">
        <v>1.0</v>
      </c>
      <c r="B29" s="58" t="str">
        <f t="shared" ref="B29:B36" si="21">INDEX($B$17:$B$24, MATCH(C29, $O$17:$O$24, 0))</f>
        <v>Ноутбук ASUS ZenBook 14</v>
      </c>
      <c r="C29" s="15">
        <f t="shared" ref="C29:C36" si="22">LARGE($O$17:$O$24,A29)</f>
        <v>0.6555459823</v>
      </c>
    </row>
    <row r="30" ht="15.75" customHeight="1">
      <c r="A30" s="15">
        <v>2.0</v>
      </c>
      <c r="B30" s="58" t="str">
        <f t="shared" si="21"/>
        <v>Infinix InBook Y3 MAX</v>
      </c>
      <c r="C30" s="15">
        <f t="shared" si="22"/>
        <v>0.5321434674</v>
      </c>
    </row>
    <row r="31" ht="15.75" customHeight="1">
      <c r="A31" s="15">
        <v>3.0</v>
      </c>
      <c r="B31" s="58" t="str">
        <f t="shared" si="21"/>
        <v>Huawei MateBook D14</v>
      </c>
      <c r="C31" s="15">
        <f t="shared" si="22"/>
        <v>0.5320002705</v>
      </c>
    </row>
    <row r="32" ht="15.75" customHeight="1">
      <c r="A32" s="15">
        <v>4.0</v>
      </c>
      <c r="B32" s="58" t="str">
        <f t="shared" si="21"/>
        <v>HONOR MagicBook 14 </v>
      </c>
      <c r="C32" s="15">
        <f t="shared" si="22"/>
        <v>0.5082942772</v>
      </c>
    </row>
    <row r="33" ht="15.75" customHeight="1">
      <c r="A33" s="15">
        <v>5.0</v>
      </c>
      <c r="B33" s="58" t="str">
        <f t="shared" si="21"/>
        <v>HONOR MagicBook x16 pro</v>
      </c>
      <c r="C33" s="15">
        <f t="shared" si="22"/>
        <v>0.4677671646</v>
      </c>
    </row>
    <row r="34" ht="15.75" customHeight="1">
      <c r="A34" s="15">
        <v>6.0</v>
      </c>
      <c r="B34" s="58" t="str">
        <f t="shared" si="21"/>
        <v>MSI Modern 15</v>
      </c>
      <c r="C34" s="15">
        <f t="shared" si="22"/>
        <v>0.4590754965</v>
      </c>
    </row>
    <row r="35" ht="15.75" customHeight="1">
      <c r="A35" s="15">
        <v>7.0</v>
      </c>
      <c r="B35" s="58" t="str">
        <f t="shared" si="21"/>
        <v>Acer Aspire 5</v>
      </c>
      <c r="C35" s="15">
        <f t="shared" si="22"/>
        <v>0.4247549937</v>
      </c>
    </row>
    <row r="36" ht="15.75" customHeight="1">
      <c r="A36" s="15">
        <v>8.0</v>
      </c>
      <c r="B36" s="58" t="str">
        <f t="shared" si="21"/>
        <v>ASUS TUF Gaming F15 FX507</v>
      </c>
      <c r="C36" s="15">
        <f t="shared" si="22"/>
        <v>0.400970492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2:A3"/>
    <mergeCell ref="B2:B3"/>
    <mergeCell ref="C2:N2"/>
    <mergeCell ref="R2:U2"/>
    <mergeCell ref="C3:D3"/>
    <mergeCell ref="E3:F3"/>
    <mergeCell ref="R3:U3"/>
    <mergeCell ref="R4:U4"/>
    <mergeCell ref="R5:U5"/>
    <mergeCell ref="R6:U6"/>
    <mergeCell ref="R7:U7"/>
    <mergeCell ref="R8:U8"/>
    <mergeCell ref="R9:U9"/>
    <mergeCell ref="R10:U10"/>
    <mergeCell ref="B15:B16"/>
    <mergeCell ref="A25:B25"/>
    <mergeCell ref="C25:D25"/>
    <mergeCell ref="E25:F25"/>
    <mergeCell ref="B27:B28"/>
    <mergeCell ref="R11:U11"/>
    <mergeCell ref="A12:B12"/>
    <mergeCell ref="A13:B13"/>
    <mergeCell ref="A15:A16"/>
    <mergeCell ref="C15:N15"/>
    <mergeCell ref="C16:D16"/>
    <mergeCell ref="E16:F16"/>
  </mergeCells>
  <drawing r:id="rId1"/>
</worksheet>
</file>